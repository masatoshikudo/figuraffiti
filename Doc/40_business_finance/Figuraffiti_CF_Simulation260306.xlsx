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7"/>
  <workbookPr/>
  <mc:AlternateContent xmlns:mc="http://schemas.openxmlformats.org/markup-compatibility/2006">
    <mc:Choice Requires="x15">
      <x15ac:absPath xmlns:x15ac="http://schemas.microsoft.com/office/spreadsheetml/2010/11/ac" url="/Users/kudoumasatoshi/NaTRIUM Dropbox/NaTRIUM/自社-8/mywebsite/figuraffiti/Doc/"/>
    </mc:Choice>
  </mc:AlternateContent>
  <xr:revisionPtr revIDLastSave="0" documentId="13_ncr:1_{CB497DC2-DE2B-6B4E-AFFA-8C843EFF2EC7}" xr6:coauthVersionLast="47" xr6:coauthVersionMax="47" xr10:uidLastSave="{00000000-0000-0000-0000-000000000000}"/>
  <bookViews>
    <workbookView xWindow="15140" yWindow="7380" windowWidth="29580" windowHeight="21100" xr2:uid="{00000000-000D-0000-FFFF-FFFF00000000}"/>
  </bookViews>
  <sheets>
    <sheet name="CFシミュレーション" sheetId="1" r:id="rId1"/>
    <sheet name="Sheet1" sheetId="3" r:id="rId2"/>
    <sheet name="使い方ガイド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G9" i="1"/>
  <c r="I9" i="1"/>
  <c r="I36" i="1" s="1"/>
  <c r="H34" i="1" s="1"/>
  <c r="I10" i="1"/>
  <c r="D34" i="1"/>
  <c r="D26" i="1"/>
  <c r="D44" i="1"/>
  <c r="D41" i="1"/>
  <c r="D55" i="1"/>
  <c r="E9" i="1"/>
  <c r="D7" i="1" s="1"/>
  <c r="D15" i="1" s="1"/>
  <c r="J41" i="1"/>
  <c r="H41" i="1"/>
  <c r="F41" i="1"/>
  <c r="J44" i="1"/>
  <c r="H44" i="1"/>
  <c r="J26" i="1"/>
  <c r="H26" i="1"/>
  <c r="H19" i="1"/>
  <c r="F44" i="1"/>
  <c r="F26" i="1"/>
  <c r="F19" i="1"/>
  <c r="C10" i="3"/>
  <c r="J64" i="1"/>
  <c r="D58" i="1" l="1"/>
  <c r="D64" i="1"/>
  <c r="F7" i="1"/>
  <c r="F15" i="1" s="1"/>
  <c r="G36" i="1"/>
  <c r="F34" i="1" s="1"/>
  <c r="F55" i="1" s="1"/>
  <c r="F58" i="1" s="1"/>
  <c r="H55" i="1"/>
  <c r="H7" i="1"/>
  <c r="K9" i="1"/>
  <c r="H62" i="1"/>
  <c r="H64" i="1" s="1"/>
  <c r="J13" i="1" s="1"/>
  <c r="F62" i="1"/>
  <c r="F64" i="1" s="1"/>
  <c r="H13" i="1" s="1"/>
  <c r="H15" i="1" l="1"/>
  <c r="F59" i="1"/>
  <c r="D59" i="1"/>
  <c r="J7" i="1"/>
  <c r="J15" i="1" s="1"/>
  <c r="K36" i="1"/>
  <c r="J34" i="1" s="1"/>
  <c r="J55" i="1" s="1"/>
  <c r="H58" i="1"/>
  <c r="H59" i="1" s="1"/>
  <c r="F68" i="1"/>
  <c r="J58" i="1" l="1"/>
  <c r="F67" i="1"/>
  <c r="J59" i="1" l="1"/>
  <c r="F69" i="1" s="1"/>
  <c r="F70" i="1" l="1"/>
</calcChain>
</file>

<file path=xl/sharedStrings.xml><?xml version="1.0" encoding="utf-8"?>
<sst xmlns="http://schemas.openxmlformats.org/spreadsheetml/2006/main" count="133" uniqueCount="133">
  <si>
    <t>Figuraffiti  3ヵ年 CFシミュレーション（自己資金300万円）</t>
  </si>
  <si>
    <t>■ 黄色セルに数値を入力してください。収支・残高は自動計算されます。</t>
  </si>
  <si>
    <t>項目</t>
  </si>
  <si>
    <t>Year 1</t>
  </si>
  <si>
    <t>Year 2</t>
  </si>
  <si>
    <t>Year 3</t>
  </si>
  <si>
    <t>備考</t>
  </si>
  <si>
    <t xml:space="preserve">    自己資金</t>
  </si>
  <si>
    <t>スタート時の自己資金</t>
  </si>
  <si>
    <t xml:space="preserve">    融資（日本公庫）</t>
  </si>
  <si>
    <t>新事業活動促進資金</t>
  </si>
  <si>
    <t xml:space="preserve">    売上（フィギュア販売）</t>
  </si>
  <si>
    <t>EC・イベント・ライセンス含む</t>
  </si>
  <si>
    <t xml:space="preserve">    補助金入金</t>
  </si>
  <si>
    <t>前年分の補助金が翌年入金</t>
  </si>
  <si>
    <t xml:space="preserve">    助成金入金</t>
  </si>
  <si>
    <t>展示会助成/Buy TOKYO等</t>
  </si>
  <si>
    <t xml:space="preserve">  ▶ 総収入</t>
  </si>
  <si>
    <t xml:space="preserve">    ▸ 設備・初期費用</t>
  </si>
  <si>
    <t xml:space="preserve">    3Dプリンター追加（2台）</t>
  </si>
  <si>
    <t xml:space="preserve">    事務所初期費用</t>
  </si>
  <si>
    <t xml:space="preserve">    ▸ 固定費</t>
  </si>
  <si>
    <t xml:space="preserve">    事務所賃料</t>
  </si>
  <si>
    <t xml:space="preserve">    コンテンツ制作ツール</t>
  </si>
  <si>
    <t>Adobe等 月1.5万</t>
  </si>
  <si>
    <t xml:space="preserve">    融資返済（年間）</t>
  </si>
  <si>
    <t>日本公庫 年間返済額</t>
  </si>
  <si>
    <t xml:space="preserve">    ▸ 制作・開発費</t>
  </si>
  <si>
    <t xml:space="preserve">    フィギュア制作・材料費</t>
  </si>
  <si>
    <t>量産拡大に伴い増加</t>
  </si>
  <si>
    <t xml:space="preserve">    アプリ改修・システム費</t>
  </si>
  <si>
    <t>自前実装のため外注費なし</t>
  </si>
  <si>
    <t xml:space="preserve">    EC構築・運営費</t>
  </si>
  <si>
    <t>持続化補助金対象</t>
  </si>
  <si>
    <t xml:space="preserve">    ▸ マーケティング・販促費</t>
  </si>
  <si>
    <t xml:space="preserve">    SNS広告費</t>
  </si>
  <si>
    <t>TikTok/Instagram広告</t>
  </si>
  <si>
    <t xml:space="preserve">    SNS運用外注費</t>
  </si>
  <si>
    <t>立ち上げ3ヶ月集中 30万×3 ※補助金対象</t>
  </si>
  <si>
    <t xml:space="preserve">    インフルエンサー依頼費</t>
  </si>
  <si>
    <t>10万/回×3回(Y1)</t>
  </si>
  <si>
    <t xml:space="preserve">    展示会出展費</t>
  </si>
  <si>
    <t>助成金対象</t>
  </si>
  <si>
    <t xml:space="preserve">    コラボ・ライセンス管理費</t>
  </si>
  <si>
    <t>Y3からIP展開本格化</t>
  </si>
  <si>
    <t xml:space="preserve">    大規模プロモーション費</t>
  </si>
  <si>
    <t>海外展開準備含む</t>
  </si>
  <si>
    <t xml:space="preserve">    ▸ 人件費</t>
  </si>
  <si>
    <t xml:space="preserve">    人件費（業務委託・パート）</t>
  </si>
  <si>
    <t>Y3は正社員採用も検討</t>
  </si>
  <si>
    <t xml:space="preserve">    ▸ 諸経費</t>
  </si>
  <si>
    <t xml:space="preserve">    諸経費（交通・材料・専門家）</t>
  </si>
  <si>
    <t xml:space="preserve">  ▶ 総支出</t>
  </si>
  <si>
    <t xml:space="preserve">  ▶ 単年収支（収入－支出）</t>
  </si>
  <si>
    <t>プラスなら黒字、マイナスなら赤字</t>
  </si>
  <si>
    <t xml:space="preserve">  ▶ 期末キャッシュ残高</t>
  </si>
  <si>
    <t>300万円スタート → 累積残高</t>
  </si>
  <si>
    <t xml:space="preserve">    補助金対象経費合計</t>
  </si>
  <si>
    <t>3Dプリンター+SNS広告+外注+インフルエンサー</t>
  </si>
  <si>
    <t xml:space="preserve">    補助率</t>
  </si>
  <si>
    <t>新事業進出補助金=1/2、持続化=2/3</t>
  </si>
  <si>
    <t xml:space="preserve">  ▶ 補助金交付決定額（翌年入金）</t>
  </si>
  <si>
    <t>この金額が翌年の「補助金入金」に反映される</t>
  </si>
  <si>
    <t xml:space="preserve">  【3年間サマリー】</t>
  </si>
  <si>
    <t xml:space="preserve">  3年間累積売上</t>
  </si>
  <si>
    <t>3年間の売上合計</t>
  </si>
  <si>
    <t xml:space="preserve">  3年間累積補助金・助成金</t>
  </si>
  <si>
    <t>補助金入金＋助成金入金の合計</t>
  </si>
  <si>
    <t xml:space="preserve">  3年末キャッシュ残高</t>
  </si>
  <si>
    <t>最終的な手元資金</t>
  </si>
  <si>
    <t xml:space="preserve">  最低キャッシュ残高（3年間）</t>
  </si>
  <si>
    <t>この値がマイナスなら資金不足が発生</t>
  </si>
  <si>
    <t>Figuraffiti CFシミュレーション 使い方ガイド</t>
  </si>
  <si>
    <t>■ 黄色セルに数値を入力してください</t>
  </si>
  <si>
    <t xml:space="preserve">  → 収支・残高・補助金額が自動計算されます</t>
  </si>
  <si>
    <t>■ 収入の部（行4〜）</t>
  </si>
  <si>
    <t xml:space="preserve">  自己資金 / 融資 / 売上 / 補助金入金 / 助成金入金</t>
  </si>
  <si>
    <t>■ 支出の部</t>
  </si>
  <si>
    <t xml:space="preserve">  設備費 / 固定費 / 制作費 / マーケ費 / 人件費 / 諸経費</t>
  </si>
  <si>
    <t>■ 補助金シミュレーション</t>
  </si>
  <si>
    <t xml:space="preserve">  補助金対象経費と補助率を変更すると交付決定額が変わります</t>
  </si>
  <si>
    <t xml:space="preserve">  ※ 交付決定額は翌年の「補助金入金」に手動で転記してください</t>
  </si>
  <si>
    <t>■ 補助金は後払い（精算払）です</t>
  </si>
  <si>
    <t xml:space="preserve">  → 交付決定年の翌年に入金されます</t>
  </si>
  <si>
    <t xml:space="preserve">  → 交付決定前の支出は対象外です</t>
  </si>
  <si>
    <t>■ 融資返済は年間60万円（月5万）で設定しています</t>
  </si>
  <si>
    <t xml:space="preserve">  → 実際の返済額に合わせて変更してください</t>
  </si>
  <si>
    <t>■ キャッシュ残高がマイナスになる場合</t>
  </si>
  <si>
    <t xml:space="preserve">  → 追加融資または支出削減を検討してください</t>
  </si>
  <si>
    <t xml:space="preserve">  → 東京都中小企業制度融資（成長サポート）も活用可能です</t>
  </si>
  <si>
    <t>■ シナリオB（コスト最適化）を推奨</t>
  </si>
  <si>
    <t xml:space="preserve">  事務所: シェアオフィス 月5万円（Year1-2）</t>
  </si>
  <si>
    <t xml:space="preserve">  SNS外注: 立ち上げ3ヶ月のみ（30万×3ヶ月）</t>
  </si>
  <si>
    <t xml:space="preserve">  → 3年間で370万円のキャッシュ改善効果</t>
  </si>
  <si>
    <t>1台30万×2台 ※補助金対象</t>
    <phoneticPr fontId="5"/>
  </si>
  <si>
    <t>Bambu Lab P2S Combo</t>
    <phoneticPr fontId="5"/>
  </si>
  <si>
    <t>防振脚座</t>
    <phoneticPr fontId="5"/>
  </si>
  <si>
    <t>その他備品</t>
    <rPh sb="3" eb="5">
      <t xml:space="preserve">ビヒン </t>
    </rPh>
    <phoneticPr fontId="5"/>
  </si>
  <si>
    <t>台数</t>
    <rPh sb="0" eb="2">
      <t xml:space="preserve">ダイスウ </t>
    </rPh>
    <phoneticPr fontId="5"/>
  </si>
  <si>
    <t xml:space="preserve"> 契約月数</t>
    <rPh sb="1" eb="3">
      <t xml:space="preserve">ケイヤク </t>
    </rPh>
    <rPh sb="3" eb="4">
      <t xml:space="preserve">ツキ </t>
    </rPh>
    <rPh sb="4" eb="5">
      <t xml:space="preserve">スウ </t>
    </rPh>
    <phoneticPr fontId="5"/>
  </si>
  <si>
    <t>賃料</t>
    <rPh sb="0" eb="2">
      <t xml:space="preserve">チンリョウ </t>
    </rPh>
    <phoneticPr fontId="5"/>
  </si>
  <si>
    <t>itsukakirufuku.com </t>
  </si>
  <si>
    <t>itsukashiraishi.com </t>
  </si>
  <si>
    <t>natrium.co.jp </t>
  </si>
  <si>
    <t>protocol-spike.com </t>
  </si>
  <si>
    <t>skateright.app </t>
  </si>
  <si>
    <t>skateright.io </t>
  </si>
  <si>
    <t>skaterightmap.com </t>
  </si>
  <si>
    <t>spike-method.com </t>
  </si>
  <si>
    <t>spike-verse.com </t>
  </si>
  <si>
    <t>ドメイン管理費</t>
    <rPh sb="4" eb="7">
      <t xml:space="preserve">カンリヒ </t>
    </rPh>
    <phoneticPr fontId="5"/>
  </si>
  <si>
    <t>ドメイン9個分</t>
    <rPh sb="6" eb="7">
      <t xml:space="preserve">ブン </t>
    </rPh>
    <phoneticPr fontId="5"/>
  </si>
  <si>
    <t xml:space="preserve">    サーバー・クラウド・API</t>
    <phoneticPr fontId="5"/>
  </si>
  <si>
    <t>月1万→月2万(Y3)：supabase¥7,200/月</t>
    <rPh sb="27" eb="28">
      <t xml:space="preserve">ツキ </t>
    </rPh>
    <phoneticPr fontId="5"/>
  </si>
  <si>
    <t>月額</t>
    <rPh sb="0" eb="2">
      <t xml:space="preserve">ゲツガク </t>
    </rPh>
    <phoneticPr fontId="5"/>
  </si>
  <si>
    <t>運用月数</t>
    <rPh sb="2" eb="4">
      <t xml:space="preserve">ゲッスウ </t>
    </rPh>
    <phoneticPr fontId="5"/>
  </si>
  <si>
    <t>運用月額</t>
    <rPh sb="0" eb="2">
      <t xml:space="preserve">ウンヨウ </t>
    </rPh>
    <rPh sb="2" eb="4">
      <t xml:space="preserve">ゲツガク </t>
    </rPh>
    <phoneticPr fontId="5"/>
  </si>
  <si>
    <t>出稿月数</t>
    <rPh sb="0" eb="4">
      <t xml:space="preserve">シュッコウゲッスウ </t>
    </rPh>
    <phoneticPr fontId="5"/>
  </si>
  <si>
    <t>商品単価</t>
    <rPh sb="0" eb="4">
      <t xml:space="preserve">ショウヒンタンカ </t>
    </rPh>
    <phoneticPr fontId="5"/>
  </si>
  <si>
    <t>販売数</t>
    <rPh sb="0" eb="3">
      <t xml:space="preserve">ハンバイスウ </t>
    </rPh>
    <phoneticPr fontId="5"/>
  </si>
  <si>
    <t>成長率</t>
    <rPh sb="0" eb="3">
      <t xml:space="preserve">セイチョウリツ </t>
    </rPh>
    <phoneticPr fontId="5"/>
  </si>
  <si>
    <t>原価</t>
    <rPh sb="0" eb="2">
      <t xml:space="preserve">ゲンカ </t>
    </rPh>
    <phoneticPr fontId="5"/>
  </si>
  <si>
    <t>制作体数</t>
    <rPh sb="0" eb="2">
      <t xml:space="preserve">セイサク </t>
    </rPh>
    <rPh sb="2" eb="4">
      <t xml:space="preserve">タイスウ </t>
    </rPh>
    <phoneticPr fontId="5"/>
  </si>
  <si>
    <t>消化率</t>
    <rPh sb="0" eb="3">
      <t xml:space="preserve">ショウカリツ </t>
    </rPh>
    <phoneticPr fontId="5"/>
  </si>
  <si>
    <t>月平均販売数</t>
    <rPh sb="0" eb="6">
      <t xml:space="preserve">ツキヘイキンハンバイスウ </t>
    </rPh>
    <phoneticPr fontId="5"/>
  </si>
  <si>
    <t>販売月数</t>
    <rPh sb="0" eb="4">
      <t xml:space="preserve">ハンバイゲッスウ </t>
    </rPh>
    <phoneticPr fontId="5"/>
  </si>
  <si>
    <t>Year 0</t>
    <phoneticPr fontId="5"/>
  </si>
  <si>
    <t>オフィス入会金等</t>
    <phoneticPr fontId="5"/>
  </si>
  <si>
    <t>Y1-3:オフィス10万/月</t>
    <phoneticPr fontId="5"/>
  </si>
  <si>
    <t xml:space="preserve">  【補助金・助成金シミュレーション】</t>
    <phoneticPr fontId="5"/>
  </si>
  <si>
    <t xml:space="preserve">  【収入の部】</t>
    <phoneticPr fontId="5"/>
  </si>
  <si>
    <t xml:space="preserve">  【支出の部】</t>
    <phoneticPr fontId="5"/>
  </si>
  <si>
    <t xml:space="preserve">  【収支・キャッシュ残高】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</si>
</sst>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#,##0.0_ "/>
  </numFmts>
  <fonts count="11">
    <font>
      <sz val="11"/>
      <color theme="1"/>
      <name val="ＭＳ Ｐゴシック"/>
      <family val="2"/>
      <scheme val="minor"/>
    </font>
    <font>
      <b/>
      <sz val="14"/>
      <color rgb="FFFFD700"/>
      <name val="Meiryo UI"/>
      <family val="2"/>
      <charset val="128"/>
    </font>
    <font>
      <b/>
      <sz val="10"/>
      <color rgb="FFFFD700"/>
      <name val="Meiryo UI"/>
      <family val="2"/>
      <charset val="128"/>
    </font>
    <font>
      <sz val="10"/>
      <color rgb="FFB0BEC5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Meiryo UI"/>
      <family val="2"/>
      <charset val="128"/>
    </font>
    <font>
      <sz val="12"/>
      <name val="Meiryo UI"/>
      <family val="2"/>
      <charset val="128"/>
    </font>
    <font>
      <i/>
      <sz val="12"/>
      <name val="Meiryo UI"/>
      <family val="2"/>
      <charset val="128"/>
    </font>
    <font>
      <sz val="14"/>
      <color rgb="FF333333"/>
      <name val="Arial"/>
      <family val="2"/>
    </font>
    <font>
      <u/>
      <sz val="11"/>
      <color theme="10"/>
      <name val="ＭＳ Ｐゴシック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6213E"/>
      </patternFill>
    </fill>
    <fill>
      <patternFill patternType="solid">
        <fgColor rgb="FF0D0D1A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</cellStyleXfs>
  <cellXfs count="33">
    <xf numFmtId="0" fontId="0" fillId="0" borderId="0" xfId="0"/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7" fillId="0" borderId="2" xfId="0" applyFont="1" applyBorder="1" applyAlignment="1">
      <alignment horizontal="left" vertical="center"/>
    </xf>
    <xf numFmtId="0" fontId="7" fillId="0" borderId="2" xfId="0" applyFont="1" applyBorder="1"/>
    <xf numFmtId="3" fontId="7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 wrapText="1"/>
    </xf>
    <xf numFmtId="9" fontId="7" fillId="0" borderId="2" xfId="0" applyNumberFormat="1" applyFont="1" applyBorder="1" applyAlignment="1">
      <alignment horizontal="right" vertical="center"/>
    </xf>
    <xf numFmtId="0" fontId="7" fillId="6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176" fontId="7" fillId="0" borderId="2" xfId="0" applyNumberFormat="1" applyFont="1" applyBorder="1" applyAlignment="1">
      <alignment horizontal="right" vertical="center"/>
    </xf>
    <xf numFmtId="0" fontId="10" fillId="0" borderId="0" xfId="2"/>
    <xf numFmtId="14" fontId="9" fillId="0" borderId="0" xfId="0" applyNumberFormat="1" applyFont="1"/>
    <xf numFmtId="3" fontId="9" fillId="0" borderId="0" xfId="0" applyNumberFormat="1" applyFont="1"/>
    <xf numFmtId="3" fontId="0" fillId="0" borderId="0" xfId="0" applyNumberFormat="1"/>
    <xf numFmtId="177" fontId="7" fillId="0" borderId="2" xfId="0" applyNumberFormat="1" applyFont="1" applyBorder="1" applyAlignment="1">
      <alignment horizontal="right" vertical="center"/>
    </xf>
    <xf numFmtId="9" fontId="7" fillId="0" borderId="2" xfId="1" applyFont="1" applyFill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2" xfId="0" applyFont="1" applyBorder="1" applyAlignment="1">
      <alignment horizontal="left" vertical="center"/>
    </xf>
    <xf numFmtId="0" fontId="7" fillId="0" borderId="2" xfId="0" applyFont="1" applyBorder="1"/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/>
    <xf numFmtId="0" fontId="8" fillId="0" borderId="0" xfId="0" applyFont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3">
    <cellStyle name="パーセント" xfId="1" builtinId="5"/>
    <cellStyle name="ハイパーリンク" xfId="2" builtinId="8"/>
    <cellStyle name="標準" xfId="0" builtinId="0"/>
  </cellStyles>
  <dxfs count="6">
    <dxf>
      <font>
        <color theme="3" tint="0.39994506668294322"/>
        <name val="Meiryo UI (本文)"/>
        <family val="3"/>
        <charset val="128"/>
      </font>
      <fill>
        <patternFill patternType="solid">
          <fgColor rgb="FF1B4332"/>
        </patternFill>
      </fill>
    </dxf>
    <dxf>
      <font>
        <b/>
        <color rgb="FFFF6B6B"/>
        <name val="Meiryo UI"/>
      </font>
      <fill>
        <patternFill patternType="solid">
          <fgColor rgb="FF7B2D2D"/>
        </patternFill>
      </fill>
    </dxf>
    <dxf>
      <font>
        <color theme="4"/>
        <name val="Meiryo UI (本文)"/>
        <family val="3"/>
        <charset val="128"/>
      </font>
      <fill>
        <patternFill patternType="solid">
          <fgColor rgb="FF1B4332"/>
        </patternFill>
      </fill>
    </dxf>
    <dxf>
      <font>
        <color theme="3" tint="0.39994506668294322"/>
        <name val="Meiryo UI (本文)"/>
        <family val="3"/>
        <charset val="128"/>
      </font>
      <fill>
        <patternFill patternType="solid">
          <fgColor rgb="FF1B4332"/>
        </patternFill>
      </fill>
    </dxf>
    <dxf>
      <font>
        <b/>
        <color rgb="FFFF6B6B"/>
        <name val="Meiryo UI"/>
      </font>
      <fill>
        <patternFill patternType="solid">
          <fgColor rgb="FF7B2D2D"/>
        </patternFill>
      </fill>
    </dxf>
    <dxf>
      <font>
        <color theme="4"/>
        <name val="Meiryo UI (本文)"/>
        <family val="3"/>
        <charset val="128"/>
      </font>
      <fill>
        <patternFill patternType="solid">
          <fgColor rgb="FF1B433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alue-domain.com/extdom.php?action=extdom2&amp;domainname=spike-method.com" TargetMode="External"/><Relationship Id="rId3" Type="http://schemas.openxmlformats.org/officeDocument/2006/relationships/hyperlink" Target="https://www.value-domain.com/extdom.php?action=extdom2&amp;domainname=natrium.co.jp" TargetMode="External"/><Relationship Id="rId7" Type="http://schemas.openxmlformats.org/officeDocument/2006/relationships/hyperlink" Target="https://www.value-domain.com/extdom.php?action=extdom2&amp;domainname=skaterightmap.com" TargetMode="External"/><Relationship Id="rId2" Type="http://schemas.openxmlformats.org/officeDocument/2006/relationships/hyperlink" Target="https://www.value-domain.com/extdom.php?action=extdom2&amp;domainname=itsukashiraishi.com" TargetMode="External"/><Relationship Id="rId1" Type="http://schemas.openxmlformats.org/officeDocument/2006/relationships/hyperlink" Target="https://www.value-domain.com/extdom.php?action=extdom2&amp;domainname=itsukakirufuku.com" TargetMode="External"/><Relationship Id="rId6" Type="http://schemas.openxmlformats.org/officeDocument/2006/relationships/hyperlink" Target="https://www.value-domain.com/extdom.php?action=extdom2&amp;domainname=skateright.io" TargetMode="External"/><Relationship Id="rId5" Type="http://schemas.openxmlformats.org/officeDocument/2006/relationships/hyperlink" Target="https://www.value-domain.com/extdom.php?action=extdom2&amp;domainname=skateright.app" TargetMode="External"/><Relationship Id="rId4" Type="http://schemas.openxmlformats.org/officeDocument/2006/relationships/hyperlink" Target="https://www.value-domain.com/extdom.php?action=extdom2&amp;domainname=protocol-spike.com" TargetMode="External"/><Relationship Id="rId9" Type="http://schemas.openxmlformats.org/officeDocument/2006/relationships/hyperlink" Target="https://www.value-domain.com/extdom.php?action=extdom2&amp;domainname=spike-ver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38"/>
  <sheetViews>
    <sheetView showGridLines="0" tabSelected="1" zoomScaleNormal="100" workbookViewId="0">
      <pane ySplit="3" topLeftCell="A42" activePane="bottomLeft" state="frozen"/>
      <selection activeCell="B1" sqref="B1"/>
      <selection pane="bottomLeft" activeCell="B18" sqref="B18:C55"/>
    </sheetView>
  </sheetViews>
  <sheetFormatPr baseColWidth="10" defaultColWidth="8.83203125" defaultRowHeight="18"/>
  <cols>
    <col min="1" max="1" width="8.83203125" style="4"/>
    <col min="2" max="2" width="4" style="5" customWidth="1"/>
    <col min="3" max="3" width="36.5" style="5" bestFit="1" customWidth="1"/>
    <col min="4" max="4" width="7.6640625" style="22" bestFit="1" customWidth="1"/>
    <col min="5" max="5" width="7.6640625" style="22" customWidth="1"/>
    <col min="6" max="6" width="8.83203125" style="5" bestFit="1" customWidth="1"/>
    <col min="7" max="7" width="8.83203125" style="5" customWidth="1"/>
    <col min="8" max="8" width="8.83203125" style="5" bestFit="1" customWidth="1"/>
    <col min="9" max="9" width="8.83203125" style="5" customWidth="1"/>
    <col min="10" max="10" width="8.83203125" style="5" bestFit="1" customWidth="1"/>
    <col min="11" max="11" width="8.83203125" style="5" customWidth="1"/>
    <col min="12" max="12" width="4" style="5" customWidth="1"/>
    <col min="13" max="13" width="45" style="5" bestFit="1" customWidth="1"/>
    <col min="14" max="16384" width="8.83203125" style="4"/>
  </cols>
  <sheetData>
    <row r="1" spans="2:13" ht="25" customHeight="1">
      <c r="B1" s="23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2:13" ht="25" customHeight="1">
      <c r="B2" s="29" t="s">
        <v>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2:13" ht="25" customHeight="1">
      <c r="B3" s="11"/>
      <c r="C3" s="12" t="s">
        <v>2</v>
      </c>
      <c r="D3" s="30" t="s">
        <v>126</v>
      </c>
      <c r="E3" s="30"/>
      <c r="F3" s="30" t="s">
        <v>3</v>
      </c>
      <c r="G3" s="30"/>
      <c r="H3" s="30" t="s">
        <v>4</v>
      </c>
      <c r="I3" s="30"/>
      <c r="J3" s="30" t="s">
        <v>5</v>
      </c>
      <c r="K3" s="30"/>
      <c r="L3" s="11"/>
      <c r="M3" s="12" t="s">
        <v>6</v>
      </c>
    </row>
    <row r="4" spans="2:13" ht="25" customHeight="1">
      <c r="B4" s="27" t="s">
        <v>130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2:13" ht="25" customHeight="1">
      <c r="B5" s="7"/>
      <c r="C5" s="6" t="s">
        <v>7</v>
      </c>
      <c r="D5" s="21">
        <v>300</v>
      </c>
      <c r="E5" s="21"/>
      <c r="F5" s="8">
        <v>0</v>
      </c>
      <c r="G5" s="8"/>
      <c r="H5" s="8">
        <v>0</v>
      </c>
      <c r="I5" s="8"/>
      <c r="J5" s="8">
        <v>0</v>
      </c>
      <c r="K5" s="8"/>
      <c r="L5" s="7"/>
      <c r="M5" s="9" t="s">
        <v>8</v>
      </c>
    </row>
    <row r="6" spans="2:13" ht="25" customHeight="1">
      <c r="B6" s="7"/>
      <c r="C6" s="6" t="s">
        <v>9</v>
      </c>
      <c r="D6" s="8">
        <v>0</v>
      </c>
      <c r="E6" s="8"/>
      <c r="F6" s="8">
        <v>500</v>
      </c>
      <c r="G6" s="8"/>
      <c r="H6" s="8">
        <v>200</v>
      </c>
      <c r="I6" s="8"/>
      <c r="J6" s="8">
        <v>0</v>
      </c>
      <c r="K6" s="8"/>
      <c r="L6" s="7"/>
      <c r="M6" s="9" t="s">
        <v>10</v>
      </c>
    </row>
    <row r="7" spans="2:13" ht="25" customHeight="1">
      <c r="B7" s="7"/>
      <c r="C7" s="6" t="s">
        <v>11</v>
      </c>
      <c r="D7" s="8">
        <f>E8*E9</f>
        <v>0</v>
      </c>
      <c r="E7" s="8"/>
      <c r="F7" s="8">
        <f>G8*G9</f>
        <v>120</v>
      </c>
      <c r="G7" s="8"/>
      <c r="H7" s="8">
        <f>I8*I9</f>
        <v>360</v>
      </c>
      <c r="I7" s="8"/>
      <c r="J7" s="8">
        <f>K8*K9</f>
        <v>1080</v>
      </c>
      <c r="K7" s="8"/>
      <c r="L7" s="7"/>
      <c r="M7" s="13" t="s">
        <v>12</v>
      </c>
    </row>
    <row r="8" spans="2:13" ht="25" customHeight="1">
      <c r="B8" s="7"/>
      <c r="C8" s="6" t="s">
        <v>118</v>
      </c>
      <c r="D8" s="8"/>
      <c r="E8" s="14">
        <v>0.5</v>
      </c>
      <c r="F8" s="8"/>
      <c r="G8" s="14">
        <v>0.5</v>
      </c>
      <c r="H8" s="8"/>
      <c r="I8" s="14">
        <v>0.5</v>
      </c>
      <c r="J8" s="8"/>
      <c r="K8" s="14">
        <v>0.5</v>
      </c>
      <c r="L8" s="7"/>
      <c r="M8" s="13"/>
    </row>
    <row r="9" spans="2:13" ht="25" customHeight="1">
      <c r="B9" s="7"/>
      <c r="C9" s="6" t="s">
        <v>119</v>
      </c>
      <c r="D9" s="8"/>
      <c r="E9" s="8">
        <f>E10*E11</f>
        <v>0</v>
      </c>
      <c r="F9" s="8"/>
      <c r="G9" s="8">
        <f>G10*G11</f>
        <v>240</v>
      </c>
      <c r="H9" s="8"/>
      <c r="I9" s="8">
        <f>G9*I12</f>
        <v>720</v>
      </c>
      <c r="J9" s="8"/>
      <c r="K9" s="8">
        <f>I9*K12</f>
        <v>2160</v>
      </c>
      <c r="L9" s="7"/>
      <c r="M9" s="13"/>
    </row>
    <row r="10" spans="2:13" ht="25" customHeight="1">
      <c r="B10" s="7"/>
      <c r="C10" s="6" t="s">
        <v>124</v>
      </c>
      <c r="D10" s="8"/>
      <c r="E10" s="8">
        <v>0</v>
      </c>
      <c r="F10" s="8"/>
      <c r="G10" s="8">
        <v>20</v>
      </c>
      <c r="H10" s="8"/>
      <c r="I10" s="8">
        <f>G10*I12</f>
        <v>60</v>
      </c>
      <c r="J10" s="8"/>
      <c r="K10" s="8">
        <v>20</v>
      </c>
      <c r="L10" s="7"/>
      <c r="M10" s="13"/>
    </row>
    <row r="11" spans="2:13" ht="25" customHeight="1">
      <c r="B11" s="7"/>
      <c r="C11" s="6" t="s">
        <v>125</v>
      </c>
      <c r="D11" s="8"/>
      <c r="E11" s="8">
        <v>12</v>
      </c>
      <c r="F11" s="8"/>
      <c r="G11" s="8">
        <v>12</v>
      </c>
      <c r="H11" s="8"/>
      <c r="I11" s="8">
        <v>12</v>
      </c>
      <c r="J11" s="8"/>
      <c r="K11" s="8">
        <v>12</v>
      </c>
      <c r="L11" s="7"/>
      <c r="M11" s="13"/>
    </row>
    <row r="12" spans="2:13" ht="25" customHeight="1">
      <c r="B12" s="7"/>
      <c r="C12" s="6" t="s">
        <v>120</v>
      </c>
      <c r="D12" s="8"/>
      <c r="E12" s="20">
        <v>1</v>
      </c>
      <c r="F12" s="8"/>
      <c r="G12" s="20">
        <v>1</v>
      </c>
      <c r="H12" s="8"/>
      <c r="I12" s="20">
        <v>3</v>
      </c>
      <c r="J12" s="8"/>
      <c r="K12" s="20">
        <v>3</v>
      </c>
      <c r="L12" s="7"/>
      <c r="M12" s="13"/>
    </row>
    <row r="13" spans="2:13" ht="25" customHeight="1">
      <c r="B13" s="7"/>
      <c r="C13" s="6" t="s">
        <v>13</v>
      </c>
      <c r="D13" s="8">
        <v>0</v>
      </c>
      <c r="E13" s="8"/>
      <c r="F13" s="8">
        <v>0</v>
      </c>
      <c r="G13" s="8"/>
      <c r="H13" s="8">
        <f>F64</f>
        <v>90</v>
      </c>
      <c r="I13" s="8"/>
      <c r="J13" s="8">
        <f>H64</f>
        <v>117</v>
      </c>
      <c r="K13" s="8"/>
      <c r="L13" s="7"/>
      <c r="M13" s="9" t="s">
        <v>14</v>
      </c>
    </row>
    <row r="14" spans="2:13" ht="25" customHeight="1">
      <c r="B14" s="7"/>
      <c r="C14" s="6" t="s">
        <v>15</v>
      </c>
      <c r="D14" s="8">
        <v>0</v>
      </c>
      <c r="E14" s="8"/>
      <c r="F14" s="8">
        <v>0</v>
      </c>
      <c r="G14" s="8"/>
      <c r="H14" s="8">
        <v>100</v>
      </c>
      <c r="I14" s="8"/>
      <c r="J14" s="8">
        <v>300</v>
      </c>
      <c r="K14" s="8"/>
      <c r="L14" s="7"/>
      <c r="M14" s="13" t="s">
        <v>16</v>
      </c>
    </row>
    <row r="15" spans="2:13" ht="25" customHeight="1">
      <c r="B15" s="7"/>
      <c r="C15" s="6" t="s">
        <v>17</v>
      </c>
      <c r="D15" s="8">
        <f>SUM(D5:D14)</f>
        <v>300</v>
      </c>
      <c r="E15" s="8"/>
      <c r="F15" s="8">
        <f>SUM(F5:F14)</f>
        <v>620</v>
      </c>
      <c r="G15" s="8"/>
      <c r="H15" s="8">
        <f>SUM(H5:H14)</f>
        <v>750</v>
      </c>
      <c r="I15" s="8"/>
      <c r="J15" s="8">
        <f>SUM(J5:J14)</f>
        <v>1497</v>
      </c>
      <c r="K15" s="8"/>
      <c r="L15" s="7"/>
      <c r="M15" s="6"/>
    </row>
    <row r="16" spans="2:13" ht="25" customHeight="1">
      <c r="B16" s="7"/>
      <c r="C16" s="7"/>
      <c r="D16" s="21"/>
      <c r="E16" s="21"/>
      <c r="F16" s="7"/>
      <c r="G16" s="7"/>
      <c r="H16" s="7"/>
      <c r="I16" s="7"/>
      <c r="J16" s="7"/>
      <c r="K16" s="7"/>
      <c r="L16" s="7"/>
      <c r="M16" s="7"/>
    </row>
    <row r="17" spans="2:13" ht="25" customHeight="1">
      <c r="B17" s="27" t="s">
        <v>131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spans="2:13" ht="25" customHeight="1">
      <c r="B18" s="25" t="s">
        <v>18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2:13" ht="25" customHeight="1">
      <c r="B19" s="7"/>
      <c r="C19" s="6" t="s">
        <v>19</v>
      </c>
      <c r="D19" s="21"/>
      <c r="E19" s="21"/>
      <c r="F19" s="14">
        <f>SUM(G21:G23)*G20</f>
        <v>30.6</v>
      </c>
      <c r="G19" s="14"/>
      <c r="H19" s="14">
        <f>SUM(I21:I23)*I20</f>
        <v>15.3</v>
      </c>
      <c r="I19" s="8"/>
      <c r="J19" s="8">
        <v>0</v>
      </c>
      <c r="K19" s="8"/>
      <c r="L19" s="7"/>
      <c r="M19" s="9" t="s">
        <v>94</v>
      </c>
    </row>
    <row r="20" spans="2:13" ht="25" customHeight="1">
      <c r="B20" s="7"/>
      <c r="C20" s="6" t="s">
        <v>98</v>
      </c>
      <c r="D20" s="21">
        <v>1</v>
      </c>
      <c r="E20" s="21"/>
      <c r="F20" s="8"/>
      <c r="G20" s="8">
        <v>2</v>
      </c>
      <c r="H20" s="8"/>
      <c r="I20" s="8">
        <v>1</v>
      </c>
      <c r="J20" s="8"/>
      <c r="K20" s="8">
        <v>0</v>
      </c>
      <c r="L20" s="7"/>
      <c r="M20" s="9"/>
    </row>
    <row r="21" spans="2:13" ht="25" customHeight="1">
      <c r="B21" s="7"/>
      <c r="C21" s="13" t="s">
        <v>95</v>
      </c>
      <c r="D21" s="14"/>
      <c r="E21" s="14">
        <v>14.8</v>
      </c>
      <c r="F21" s="14"/>
      <c r="G21" s="14">
        <v>14.8</v>
      </c>
      <c r="H21" s="8"/>
      <c r="I21" s="14">
        <v>14.8</v>
      </c>
      <c r="J21" s="8"/>
      <c r="K21" s="14">
        <v>14.8</v>
      </c>
      <c r="L21" s="7"/>
      <c r="M21" s="9"/>
    </row>
    <row r="22" spans="2:13" ht="25" customHeight="1">
      <c r="B22" s="7"/>
      <c r="C22" s="13" t="s">
        <v>96</v>
      </c>
      <c r="D22" s="14"/>
      <c r="E22" s="14">
        <v>0.2</v>
      </c>
      <c r="F22" s="14"/>
      <c r="G22" s="14">
        <v>0.2</v>
      </c>
      <c r="H22" s="8"/>
      <c r="I22" s="14">
        <v>0.2</v>
      </c>
      <c r="J22" s="8"/>
      <c r="K22" s="14">
        <v>0.2</v>
      </c>
      <c r="L22" s="7"/>
      <c r="M22" s="9"/>
    </row>
    <row r="23" spans="2:13" ht="25" customHeight="1">
      <c r="B23" s="7"/>
      <c r="C23" s="13" t="s">
        <v>97</v>
      </c>
      <c r="D23" s="14"/>
      <c r="E23" s="14">
        <v>0.3</v>
      </c>
      <c r="F23" s="14"/>
      <c r="G23" s="14">
        <v>0.3</v>
      </c>
      <c r="H23" s="8"/>
      <c r="I23" s="14">
        <v>0.3</v>
      </c>
      <c r="J23" s="8"/>
      <c r="K23" s="14">
        <v>0.3</v>
      </c>
      <c r="L23" s="7"/>
      <c r="M23" s="9"/>
    </row>
    <row r="24" spans="2:13" ht="25" customHeight="1">
      <c r="B24" s="7"/>
      <c r="C24" s="6" t="s">
        <v>20</v>
      </c>
      <c r="D24" s="21">
        <v>0</v>
      </c>
      <c r="E24" s="21"/>
      <c r="F24" s="8">
        <v>0</v>
      </c>
      <c r="G24" s="8"/>
      <c r="H24" s="8">
        <v>0</v>
      </c>
      <c r="I24" s="8"/>
      <c r="J24" s="8">
        <v>10</v>
      </c>
      <c r="K24" s="8"/>
      <c r="L24" s="7"/>
      <c r="M24" s="9" t="s">
        <v>127</v>
      </c>
    </row>
    <row r="25" spans="2:13" ht="25" customHeight="1">
      <c r="B25" s="25" t="s">
        <v>21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</row>
    <row r="26" spans="2:13" ht="25" customHeight="1">
      <c r="B26" s="7"/>
      <c r="C26" s="6" t="s">
        <v>22</v>
      </c>
      <c r="D26" s="8">
        <f>E27*E28</f>
        <v>0</v>
      </c>
      <c r="E26" s="8"/>
      <c r="F26" s="8">
        <f>G27*G28</f>
        <v>0</v>
      </c>
      <c r="G26" s="8"/>
      <c r="H26" s="8">
        <f>I27*I28</f>
        <v>0</v>
      </c>
      <c r="I26" s="8"/>
      <c r="J26" s="8">
        <f>K27*K28</f>
        <v>120</v>
      </c>
      <c r="K26" s="8"/>
      <c r="L26" s="7"/>
      <c r="M26" s="9" t="s">
        <v>128</v>
      </c>
    </row>
    <row r="27" spans="2:13" ht="25" customHeight="1">
      <c r="B27" s="7"/>
      <c r="C27" s="6" t="s">
        <v>99</v>
      </c>
      <c r="D27" s="8"/>
      <c r="E27" s="8">
        <v>0</v>
      </c>
      <c r="F27" s="8"/>
      <c r="G27" s="8">
        <v>0</v>
      </c>
      <c r="H27" s="8"/>
      <c r="I27" s="8">
        <v>0</v>
      </c>
      <c r="J27" s="8"/>
      <c r="K27" s="8">
        <v>12</v>
      </c>
      <c r="L27" s="7"/>
      <c r="M27" s="9"/>
    </row>
    <row r="28" spans="2:13" ht="25" customHeight="1">
      <c r="B28" s="7"/>
      <c r="C28" s="6" t="s">
        <v>100</v>
      </c>
      <c r="D28" s="8"/>
      <c r="E28" s="8">
        <v>10</v>
      </c>
      <c r="F28" s="8"/>
      <c r="G28" s="8">
        <v>10</v>
      </c>
      <c r="H28" s="8"/>
      <c r="I28" s="8">
        <v>10</v>
      </c>
      <c r="J28" s="8"/>
      <c r="K28" s="8">
        <v>10</v>
      </c>
      <c r="L28" s="7"/>
      <c r="M28" s="9"/>
    </row>
    <row r="29" spans="2:13" ht="25" customHeight="1">
      <c r="B29" s="7"/>
      <c r="C29" s="6" t="s">
        <v>112</v>
      </c>
      <c r="D29" s="8">
        <v>9</v>
      </c>
      <c r="E29" s="8"/>
      <c r="F29" s="8">
        <v>9</v>
      </c>
      <c r="G29" s="8"/>
      <c r="H29" s="8">
        <v>9</v>
      </c>
      <c r="I29" s="8"/>
      <c r="J29" s="8">
        <v>24</v>
      </c>
      <c r="K29" s="8"/>
      <c r="L29" s="7"/>
      <c r="M29" s="9" t="s">
        <v>113</v>
      </c>
    </row>
    <row r="30" spans="2:13" ht="25" customHeight="1">
      <c r="B30" s="7"/>
      <c r="C30" s="6" t="s">
        <v>110</v>
      </c>
      <c r="D30" s="8">
        <v>3</v>
      </c>
      <c r="E30" s="8"/>
      <c r="F30" s="8">
        <v>3</v>
      </c>
      <c r="G30" s="8"/>
      <c r="H30" s="8">
        <v>3</v>
      </c>
      <c r="I30" s="8"/>
      <c r="J30" s="8">
        <v>3</v>
      </c>
      <c r="K30" s="8"/>
      <c r="L30" s="7"/>
      <c r="M30" s="9" t="s">
        <v>111</v>
      </c>
    </row>
    <row r="31" spans="2:13" ht="25" customHeight="1">
      <c r="B31" s="7"/>
      <c r="C31" s="6" t="s">
        <v>23</v>
      </c>
      <c r="D31" s="8">
        <v>18</v>
      </c>
      <c r="E31" s="8"/>
      <c r="F31" s="8">
        <v>18</v>
      </c>
      <c r="G31" s="8"/>
      <c r="H31" s="8">
        <v>18</v>
      </c>
      <c r="I31" s="8"/>
      <c r="J31" s="8">
        <v>18</v>
      </c>
      <c r="K31" s="8"/>
      <c r="L31" s="7"/>
      <c r="M31" s="9" t="s">
        <v>24</v>
      </c>
    </row>
    <row r="32" spans="2:13" ht="25" customHeight="1">
      <c r="B32" s="7"/>
      <c r="C32" s="6" t="s">
        <v>25</v>
      </c>
      <c r="D32" s="8">
        <v>0</v>
      </c>
      <c r="E32" s="8"/>
      <c r="F32" s="8">
        <v>60</v>
      </c>
      <c r="G32" s="8"/>
      <c r="H32" s="8">
        <v>84</v>
      </c>
      <c r="I32" s="8"/>
      <c r="J32" s="8">
        <v>84</v>
      </c>
      <c r="K32" s="8"/>
      <c r="L32" s="7"/>
      <c r="M32" s="9" t="s">
        <v>26</v>
      </c>
    </row>
    <row r="33" spans="2:13" ht="25" customHeight="1">
      <c r="B33" s="25" t="s">
        <v>27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</row>
    <row r="34" spans="2:13" ht="25" customHeight="1">
      <c r="B34" s="7"/>
      <c r="C34" s="6" t="s">
        <v>28</v>
      </c>
      <c r="D34" s="8">
        <f>E35*E36</f>
        <v>5</v>
      </c>
      <c r="E34" s="8"/>
      <c r="F34" s="8">
        <f>G35*G36</f>
        <v>48</v>
      </c>
      <c r="G34" s="8"/>
      <c r="H34" s="8">
        <f t="shared" ref="H34" si="0">I35*I36</f>
        <v>96</v>
      </c>
      <c r="I34" s="8"/>
      <c r="J34" s="8">
        <f t="shared" ref="J34" si="1">K35*K36</f>
        <v>288</v>
      </c>
      <c r="K34" s="8"/>
      <c r="L34" s="7"/>
      <c r="M34" s="9" t="s">
        <v>29</v>
      </c>
    </row>
    <row r="35" spans="2:13" ht="25" customHeight="1">
      <c r="B35" s="7"/>
      <c r="C35" s="6" t="s">
        <v>121</v>
      </c>
      <c r="D35" s="8"/>
      <c r="E35" s="14">
        <v>0.1</v>
      </c>
      <c r="F35" s="8"/>
      <c r="G35" s="14">
        <v>0.1</v>
      </c>
      <c r="H35" s="8"/>
      <c r="I35" s="14">
        <v>0.1</v>
      </c>
      <c r="J35" s="8"/>
      <c r="K35" s="14">
        <v>0.1</v>
      </c>
      <c r="L35" s="7"/>
      <c r="M35" s="9"/>
    </row>
    <row r="36" spans="2:13" ht="25" customHeight="1">
      <c r="B36" s="7"/>
      <c r="C36" s="6" t="s">
        <v>122</v>
      </c>
      <c r="D36" s="8"/>
      <c r="E36" s="8">
        <v>50</v>
      </c>
      <c r="F36" s="8"/>
      <c r="G36" s="8">
        <f>G9/G37</f>
        <v>480</v>
      </c>
      <c r="H36" s="8"/>
      <c r="I36" s="8">
        <f t="shared" ref="I36" si="2">I9/I37</f>
        <v>960</v>
      </c>
      <c r="J36" s="8"/>
      <c r="K36" s="8">
        <f t="shared" ref="K36" si="3">K9/K37</f>
        <v>2880</v>
      </c>
      <c r="L36" s="7"/>
      <c r="M36" s="9"/>
    </row>
    <row r="37" spans="2:13" ht="25" customHeight="1">
      <c r="B37" s="7"/>
      <c r="C37" s="6" t="s">
        <v>123</v>
      </c>
      <c r="D37" s="8"/>
      <c r="E37" s="20">
        <v>0.5</v>
      </c>
      <c r="F37" s="8"/>
      <c r="G37" s="20">
        <v>0.5</v>
      </c>
      <c r="H37" s="8"/>
      <c r="I37" s="20">
        <v>0.75</v>
      </c>
      <c r="J37" s="8"/>
      <c r="K37" s="20">
        <v>0.75</v>
      </c>
      <c r="L37" s="7"/>
      <c r="M37" s="9"/>
    </row>
    <row r="38" spans="2:13" ht="25" customHeight="1">
      <c r="B38" s="7"/>
      <c r="C38" s="6" t="s">
        <v>30</v>
      </c>
      <c r="D38" s="21"/>
      <c r="E38" s="21"/>
      <c r="F38" s="8">
        <v>0</v>
      </c>
      <c r="G38" s="8"/>
      <c r="H38" s="8">
        <v>0</v>
      </c>
      <c r="I38" s="8"/>
      <c r="J38" s="8">
        <v>0</v>
      </c>
      <c r="K38" s="8"/>
      <c r="L38" s="7"/>
      <c r="M38" s="9" t="s">
        <v>31</v>
      </c>
    </row>
    <row r="39" spans="2:13" ht="25" customHeight="1">
      <c r="B39" s="7"/>
      <c r="C39" s="6" t="s">
        <v>32</v>
      </c>
      <c r="D39" s="21"/>
      <c r="E39" s="21"/>
      <c r="F39" s="8">
        <v>0</v>
      </c>
      <c r="G39" s="8"/>
      <c r="H39" s="8">
        <v>0</v>
      </c>
      <c r="I39" s="8"/>
      <c r="J39" s="8">
        <v>0</v>
      </c>
      <c r="K39" s="8"/>
      <c r="L39" s="7"/>
      <c r="M39" s="9" t="s">
        <v>33</v>
      </c>
    </row>
    <row r="40" spans="2:13" ht="25" customHeight="1">
      <c r="B40" s="25" t="s">
        <v>34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2:13" ht="25" customHeight="1">
      <c r="B41" s="7"/>
      <c r="C41" s="6" t="s">
        <v>35</v>
      </c>
      <c r="D41" s="8">
        <f>E42*E43</f>
        <v>0</v>
      </c>
      <c r="E41" s="8"/>
      <c r="F41" s="8">
        <f>G42*G43</f>
        <v>60</v>
      </c>
      <c r="G41" s="8"/>
      <c r="H41" s="8">
        <f t="shared" ref="H41" si="4">I42*I43</f>
        <v>60</v>
      </c>
      <c r="I41" s="8"/>
      <c r="J41" s="8">
        <f t="shared" ref="J41" si="5">K42*K43</f>
        <v>120</v>
      </c>
      <c r="K41" s="8"/>
      <c r="L41" s="7"/>
      <c r="M41" s="9" t="s">
        <v>36</v>
      </c>
    </row>
    <row r="42" spans="2:13" ht="25" customHeight="1">
      <c r="B42" s="7"/>
      <c r="C42" s="6" t="s">
        <v>114</v>
      </c>
      <c r="D42" s="8"/>
      <c r="E42" s="8">
        <v>5</v>
      </c>
      <c r="F42" s="8"/>
      <c r="G42" s="8">
        <v>5</v>
      </c>
      <c r="H42" s="8"/>
      <c r="I42" s="8">
        <v>5</v>
      </c>
      <c r="J42" s="8"/>
      <c r="K42" s="8">
        <v>10</v>
      </c>
      <c r="L42" s="7"/>
      <c r="M42" s="9"/>
    </row>
    <row r="43" spans="2:13" ht="25" customHeight="1">
      <c r="B43" s="7"/>
      <c r="C43" s="6" t="s">
        <v>117</v>
      </c>
      <c r="D43" s="8"/>
      <c r="E43" s="8">
        <v>0</v>
      </c>
      <c r="F43" s="8"/>
      <c r="G43" s="8">
        <v>12</v>
      </c>
      <c r="H43" s="8"/>
      <c r="I43" s="8">
        <v>12</v>
      </c>
      <c r="J43" s="8"/>
      <c r="K43" s="8">
        <v>12</v>
      </c>
      <c r="L43" s="7"/>
      <c r="M43" s="9"/>
    </row>
    <row r="44" spans="2:13" ht="25" customHeight="1">
      <c r="B44" s="7"/>
      <c r="C44" s="6" t="s">
        <v>37</v>
      </c>
      <c r="D44" s="8">
        <f>E45*E46</f>
        <v>0</v>
      </c>
      <c r="E44" s="8"/>
      <c r="F44" s="8">
        <f>G45*G46</f>
        <v>0</v>
      </c>
      <c r="G44" s="8"/>
      <c r="H44" s="8">
        <f>I45*I46</f>
        <v>0</v>
      </c>
      <c r="I44" s="8"/>
      <c r="J44" s="8">
        <f>K45*K46</f>
        <v>180</v>
      </c>
      <c r="K44" s="8"/>
      <c r="L44" s="7"/>
      <c r="M44" s="9" t="s">
        <v>38</v>
      </c>
    </row>
    <row r="45" spans="2:13" ht="25" customHeight="1">
      <c r="B45" s="7"/>
      <c r="C45" s="6" t="s">
        <v>116</v>
      </c>
      <c r="D45" s="8"/>
      <c r="E45" s="8">
        <v>15</v>
      </c>
      <c r="F45" s="8"/>
      <c r="G45" s="8">
        <v>15</v>
      </c>
      <c r="H45" s="8"/>
      <c r="I45" s="8">
        <v>15</v>
      </c>
      <c r="J45" s="8"/>
      <c r="K45" s="8">
        <v>15</v>
      </c>
      <c r="L45" s="7"/>
      <c r="M45" s="9"/>
    </row>
    <row r="46" spans="2:13" ht="25" customHeight="1">
      <c r="B46" s="7"/>
      <c r="C46" s="6" t="s">
        <v>115</v>
      </c>
      <c r="D46" s="8"/>
      <c r="E46" s="8">
        <v>0</v>
      </c>
      <c r="F46" s="8"/>
      <c r="G46" s="8">
        <v>0</v>
      </c>
      <c r="H46" s="8"/>
      <c r="I46" s="8">
        <v>0</v>
      </c>
      <c r="J46" s="8"/>
      <c r="K46" s="8">
        <v>12</v>
      </c>
      <c r="L46" s="7"/>
      <c r="M46" s="9"/>
    </row>
    <row r="47" spans="2:13" ht="25" customHeight="1">
      <c r="B47" s="7"/>
      <c r="C47" s="6" t="s">
        <v>39</v>
      </c>
      <c r="D47" s="8">
        <v>0</v>
      </c>
      <c r="E47" s="21"/>
      <c r="F47" s="8">
        <v>0</v>
      </c>
      <c r="G47" s="8"/>
      <c r="H47" s="8">
        <v>0</v>
      </c>
      <c r="I47" s="8"/>
      <c r="J47" s="8">
        <v>30</v>
      </c>
      <c r="K47" s="8"/>
      <c r="L47" s="7"/>
      <c r="M47" s="9" t="s">
        <v>40</v>
      </c>
    </row>
    <row r="48" spans="2:13" ht="25" customHeight="1">
      <c r="B48" s="7"/>
      <c r="C48" s="6" t="s">
        <v>41</v>
      </c>
      <c r="D48" s="8">
        <v>0</v>
      </c>
      <c r="E48" s="21"/>
      <c r="F48" s="8">
        <v>0</v>
      </c>
      <c r="G48" s="8"/>
      <c r="H48" s="8">
        <v>150</v>
      </c>
      <c r="I48" s="8"/>
      <c r="J48" s="8">
        <v>0</v>
      </c>
      <c r="K48" s="8"/>
      <c r="L48" s="7"/>
      <c r="M48" s="9" t="s">
        <v>42</v>
      </c>
    </row>
    <row r="49" spans="2:13" ht="25" customHeight="1">
      <c r="B49" s="7"/>
      <c r="C49" s="6" t="s">
        <v>43</v>
      </c>
      <c r="D49" s="8">
        <v>0</v>
      </c>
      <c r="E49" s="21"/>
      <c r="F49" s="8">
        <v>0</v>
      </c>
      <c r="G49" s="8"/>
      <c r="H49" s="8">
        <v>0</v>
      </c>
      <c r="I49" s="8"/>
      <c r="J49" s="8">
        <v>200</v>
      </c>
      <c r="K49" s="8"/>
      <c r="L49" s="7"/>
      <c r="M49" s="9" t="s">
        <v>44</v>
      </c>
    </row>
    <row r="50" spans="2:13" ht="25" customHeight="1">
      <c r="B50" s="7"/>
      <c r="C50" s="6" t="s">
        <v>45</v>
      </c>
      <c r="D50" s="8">
        <v>0</v>
      </c>
      <c r="E50" s="21"/>
      <c r="F50" s="8">
        <v>0</v>
      </c>
      <c r="G50" s="8"/>
      <c r="H50" s="8">
        <v>0</v>
      </c>
      <c r="I50" s="8"/>
      <c r="J50" s="8">
        <v>200</v>
      </c>
      <c r="K50" s="8"/>
      <c r="L50" s="7"/>
      <c r="M50" s="9" t="s">
        <v>46</v>
      </c>
    </row>
    <row r="51" spans="2:13" ht="25" customHeight="1">
      <c r="B51" s="25" t="s">
        <v>47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 spans="2:13" ht="25" customHeight="1">
      <c r="B52" s="7"/>
      <c r="C52" s="6" t="s">
        <v>48</v>
      </c>
      <c r="D52" s="8">
        <v>0</v>
      </c>
      <c r="E52" s="21"/>
      <c r="F52" s="8">
        <v>0</v>
      </c>
      <c r="G52" s="8"/>
      <c r="H52" s="8">
        <v>0</v>
      </c>
      <c r="I52" s="8"/>
      <c r="J52" s="8">
        <v>120</v>
      </c>
      <c r="K52" s="8"/>
      <c r="L52" s="7"/>
      <c r="M52" s="9" t="s">
        <v>49</v>
      </c>
    </row>
    <row r="53" spans="2:13" ht="25" customHeight="1">
      <c r="B53" s="25" t="s">
        <v>50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2:13" ht="25" customHeight="1">
      <c r="B54" s="7"/>
      <c r="C54" s="6" t="s">
        <v>51</v>
      </c>
      <c r="D54" s="8">
        <v>60</v>
      </c>
      <c r="E54" s="21"/>
      <c r="F54" s="8">
        <v>60</v>
      </c>
      <c r="G54" s="8"/>
      <c r="H54" s="8">
        <v>70</v>
      </c>
      <c r="I54" s="8"/>
      <c r="J54" s="8">
        <v>80</v>
      </c>
      <c r="K54" s="8"/>
      <c r="L54" s="7"/>
      <c r="M54" s="9"/>
    </row>
    <row r="55" spans="2:13" ht="25" customHeight="1">
      <c r="B55" s="7"/>
      <c r="C55" s="6" t="s">
        <v>52</v>
      </c>
      <c r="D55" s="8">
        <f>SUM(D18:D54)</f>
        <v>96</v>
      </c>
      <c r="E55" s="21"/>
      <c r="F55" s="8">
        <f>SUM(F18:F54)</f>
        <v>288.60000000000002</v>
      </c>
      <c r="G55" s="8"/>
      <c r="H55" s="8">
        <f>SUM(H18:H54)</f>
        <v>505.3</v>
      </c>
      <c r="I55" s="8"/>
      <c r="J55" s="8">
        <f>SUM(J18:J54)</f>
        <v>1477</v>
      </c>
      <c r="K55" s="8"/>
      <c r="L55" s="7"/>
      <c r="M55" s="6"/>
    </row>
    <row r="56" spans="2:13" ht="25" customHeight="1">
      <c r="B56" s="7"/>
      <c r="C56" s="7"/>
      <c r="D56" s="21"/>
      <c r="E56" s="21"/>
      <c r="F56" s="7"/>
      <c r="G56" s="7"/>
      <c r="H56" s="7"/>
      <c r="I56" s="7"/>
      <c r="J56" s="7"/>
      <c r="K56" s="7"/>
      <c r="L56" s="7"/>
      <c r="M56" s="7"/>
    </row>
    <row r="57" spans="2:13" ht="25" customHeight="1">
      <c r="B57" s="27" t="s">
        <v>132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spans="2:13" ht="25" customHeight="1">
      <c r="B58" s="7"/>
      <c r="C58" s="6" t="s">
        <v>53</v>
      </c>
      <c r="D58" s="8">
        <f>D15-D55</f>
        <v>204</v>
      </c>
      <c r="E58" s="21"/>
      <c r="F58" s="8">
        <f>F15-F55</f>
        <v>331.4</v>
      </c>
      <c r="G58" s="8"/>
      <c r="H58" s="8">
        <f>H15-H55</f>
        <v>244.7</v>
      </c>
      <c r="I58" s="8"/>
      <c r="J58" s="8">
        <f>J15-J55</f>
        <v>20</v>
      </c>
      <c r="K58" s="8"/>
      <c r="L58" s="7"/>
      <c r="M58" s="9" t="s">
        <v>54</v>
      </c>
    </row>
    <row r="59" spans="2:13" ht="25" customHeight="1">
      <c r="B59" s="7"/>
      <c r="C59" s="6" t="s">
        <v>55</v>
      </c>
      <c r="D59" s="8">
        <f>D58</f>
        <v>204</v>
      </c>
      <c r="E59" s="21"/>
      <c r="F59" s="8">
        <f>D58+F58</f>
        <v>535.4</v>
      </c>
      <c r="G59" s="8"/>
      <c r="H59" s="8">
        <f>F58+H58</f>
        <v>576.09999999999991</v>
      </c>
      <c r="I59" s="8"/>
      <c r="J59" s="8">
        <f>H58+J58</f>
        <v>264.7</v>
      </c>
      <c r="K59" s="8"/>
      <c r="L59" s="7"/>
      <c r="M59" s="9" t="s">
        <v>56</v>
      </c>
    </row>
    <row r="60" spans="2:13" ht="25" customHeight="1">
      <c r="B60" s="7"/>
      <c r="C60" s="7"/>
      <c r="D60" s="21"/>
      <c r="E60" s="21"/>
      <c r="F60" s="7"/>
      <c r="G60" s="7"/>
      <c r="H60" s="7"/>
      <c r="I60" s="7"/>
      <c r="J60" s="7"/>
      <c r="K60" s="7"/>
      <c r="L60" s="7"/>
      <c r="M60" s="7"/>
    </row>
    <row r="61" spans="2:13" ht="25" customHeight="1">
      <c r="B61" s="27" t="s">
        <v>129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pans="2:13" ht="25" customHeight="1">
      <c r="B62" s="7"/>
      <c r="C62" s="6" t="s">
        <v>57</v>
      </c>
      <c r="D62" s="19">
        <f>D19+D29+D30+D31+D41+D44+D47+D54</f>
        <v>90</v>
      </c>
      <c r="E62" s="8"/>
      <c r="F62" s="19">
        <f>F19+F29+F30+F31+F41+F44+F47+F54</f>
        <v>180.6</v>
      </c>
      <c r="G62" s="8"/>
      <c r="H62" s="19">
        <f>H19+H29+H30+H31+H41+H44+H47+H54</f>
        <v>175.3</v>
      </c>
      <c r="I62" s="8"/>
      <c r="J62" s="8">
        <v>0</v>
      </c>
      <c r="K62" s="8"/>
      <c r="L62" s="7"/>
      <c r="M62" s="9" t="s">
        <v>58</v>
      </c>
    </row>
    <row r="63" spans="2:13" ht="25" customHeight="1">
      <c r="B63" s="7"/>
      <c r="C63" s="6" t="s">
        <v>59</v>
      </c>
      <c r="D63" s="10">
        <v>0</v>
      </c>
      <c r="E63" s="10"/>
      <c r="F63" s="10">
        <v>0.5</v>
      </c>
      <c r="G63" s="10"/>
      <c r="H63" s="10">
        <v>0.67</v>
      </c>
      <c r="I63" s="10"/>
      <c r="J63" s="10">
        <v>0</v>
      </c>
      <c r="K63" s="10"/>
      <c r="L63" s="7"/>
      <c r="M63" s="9" t="s">
        <v>60</v>
      </c>
    </row>
    <row r="64" spans="2:13" ht="25" customHeight="1">
      <c r="B64" s="7"/>
      <c r="C64" s="6" t="s">
        <v>61</v>
      </c>
      <c r="D64" s="8">
        <f>INT(D62*D63)</f>
        <v>0</v>
      </c>
      <c r="E64" s="8"/>
      <c r="F64" s="8">
        <f>INT(F62*F63)</f>
        <v>90</v>
      </c>
      <c r="G64" s="8"/>
      <c r="H64" s="8">
        <f>INT(H62*H63)</f>
        <v>117</v>
      </c>
      <c r="I64" s="8"/>
      <c r="J64" s="8">
        <f>INT(J62*J63)</f>
        <v>0</v>
      </c>
      <c r="K64" s="8"/>
      <c r="L64" s="7"/>
      <c r="M64" s="9" t="s">
        <v>62</v>
      </c>
    </row>
    <row r="65" spans="2:13" ht="25" customHeight="1">
      <c r="B65" s="7"/>
      <c r="C65" s="7"/>
      <c r="D65" s="21"/>
      <c r="E65" s="21"/>
      <c r="F65" s="7"/>
      <c r="G65" s="7"/>
      <c r="H65" s="7"/>
      <c r="I65" s="7"/>
      <c r="J65" s="7"/>
      <c r="K65" s="7"/>
      <c r="L65" s="7"/>
      <c r="M65" s="7"/>
    </row>
    <row r="66" spans="2:13" ht="25" customHeight="1">
      <c r="B66" s="27" t="s">
        <v>63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</row>
    <row r="67" spans="2:13" ht="25" customHeight="1">
      <c r="B67" s="7"/>
      <c r="C67" s="6" t="s">
        <v>64</v>
      </c>
      <c r="D67" s="21"/>
      <c r="E67" s="21"/>
      <c r="F67" s="8">
        <f>F15+H15+J15</f>
        <v>2867</v>
      </c>
      <c r="G67" s="8"/>
      <c r="H67" s="8"/>
      <c r="I67" s="8"/>
      <c r="J67" s="8"/>
      <c r="K67" s="8"/>
      <c r="L67" s="7"/>
      <c r="M67" s="9" t="s">
        <v>65</v>
      </c>
    </row>
    <row r="68" spans="2:13" ht="25" customHeight="1">
      <c r="B68" s="7"/>
      <c r="C68" s="6" t="s">
        <v>66</v>
      </c>
      <c r="D68" s="21"/>
      <c r="E68" s="21"/>
      <c r="F68" s="8">
        <f>F13+H13+J13+F14+H14+J14</f>
        <v>607</v>
      </c>
      <c r="G68" s="8"/>
      <c r="H68" s="8"/>
      <c r="I68" s="8"/>
      <c r="J68" s="8"/>
      <c r="K68" s="8"/>
      <c r="L68" s="7"/>
      <c r="M68" s="9" t="s">
        <v>67</v>
      </c>
    </row>
    <row r="69" spans="2:13" ht="25" customHeight="1">
      <c r="B69" s="7"/>
      <c r="C69" s="6" t="s">
        <v>68</v>
      </c>
      <c r="D69" s="21"/>
      <c r="E69" s="21"/>
      <c r="F69" s="8">
        <f>J59</f>
        <v>264.7</v>
      </c>
      <c r="G69" s="8"/>
      <c r="H69" s="8"/>
      <c r="I69" s="8"/>
      <c r="J69" s="8"/>
      <c r="K69" s="8"/>
      <c r="L69" s="7"/>
      <c r="M69" s="9" t="s">
        <v>69</v>
      </c>
    </row>
    <row r="70" spans="2:13" ht="25" customHeight="1">
      <c r="B70" s="7"/>
      <c r="C70" s="6" t="s">
        <v>70</v>
      </c>
      <c r="D70" s="21"/>
      <c r="E70" s="21"/>
      <c r="F70" s="8">
        <f>MIN(F59,H59,J59)</f>
        <v>264.7</v>
      </c>
      <c r="G70" s="8"/>
      <c r="H70" s="8"/>
      <c r="I70" s="8"/>
      <c r="J70" s="8"/>
      <c r="K70" s="8"/>
      <c r="L70" s="7"/>
      <c r="M70" s="9" t="s">
        <v>71</v>
      </c>
    </row>
    <row r="71" spans="2:13" ht="25" customHeight="1"/>
    <row r="72" spans="2:13" ht="25" customHeight="1"/>
    <row r="73" spans="2:13" ht="25" customHeight="1"/>
    <row r="74" spans="2:13" ht="25" customHeight="1"/>
    <row r="75" spans="2:13" ht="25" customHeight="1"/>
    <row r="76" spans="2:13" ht="20" customHeight="1"/>
    <row r="77" spans="2:13" ht="20" customHeight="1"/>
    <row r="78" spans="2:13" ht="20" customHeight="1"/>
    <row r="79" spans="2:13" ht="20" customHeight="1"/>
    <row r="80" spans="2:13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</sheetData>
  <mergeCells count="17">
    <mergeCell ref="B57:M57"/>
    <mergeCell ref="B2:M2"/>
    <mergeCell ref="B25:M25"/>
    <mergeCell ref="B40:M40"/>
    <mergeCell ref="B66:M66"/>
    <mergeCell ref="B61:M61"/>
    <mergeCell ref="F3:G3"/>
    <mergeCell ref="H3:I3"/>
    <mergeCell ref="J3:K3"/>
    <mergeCell ref="D3:E3"/>
    <mergeCell ref="B51:M51"/>
    <mergeCell ref="B18:M18"/>
    <mergeCell ref="B1:M1"/>
    <mergeCell ref="B33:M33"/>
    <mergeCell ref="B53:M53"/>
    <mergeCell ref="B17:M17"/>
    <mergeCell ref="B4:M4"/>
  </mergeCells>
  <phoneticPr fontId="5"/>
  <conditionalFormatting sqref="D58">
    <cfRule type="cellIs" dxfId="5" priority="2" operator="greaterThanOrEqual">
      <formula>0</formula>
    </cfRule>
  </conditionalFormatting>
  <conditionalFormatting sqref="D58:D59">
    <cfRule type="cellIs" dxfId="4" priority="1" operator="lessThan">
      <formula>0</formula>
    </cfRule>
  </conditionalFormatting>
  <conditionalFormatting sqref="D59">
    <cfRule type="cellIs" dxfId="3" priority="3" operator="greaterThanOrEqual">
      <formula>100</formula>
    </cfRule>
  </conditionalFormatting>
  <conditionalFormatting sqref="F58:K58">
    <cfRule type="cellIs" dxfId="2" priority="5" operator="greaterThanOrEqual">
      <formula>0</formula>
    </cfRule>
  </conditionalFormatting>
  <conditionalFormatting sqref="F58:K59">
    <cfRule type="cellIs" dxfId="1" priority="4" operator="lessThan">
      <formula>0</formula>
    </cfRule>
  </conditionalFormatting>
  <conditionalFormatting sqref="F59:K59">
    <cfRule type="cellIs" dxfId="0" priority="7" stopIfTrue="1" operator="greaterThanOrEqual">
      <formula>100</formula>
    </cfRule>
  </conditionalFormatting>
  <pageMargins left="0.75" right="0.75" top="1" bottom="1" header="0.5" footer="0.5"/>
  <pageSetup paperSize="256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E66E-978B-5B4D-BCA4-BBF2A83A757F}">
  <dimension ref="A1:C10"/>
  <sheetViews>
    <sheetView workbookViewId="0">
      <selection activeCell="C10" sqref="C10"/>
    </sheetView>
  </sheetViews>
  <sheetFormatPr baseColWidth="10" defaultRowHeight="14"/>
  <cols>
    <col min="1" max="1" width="17.6640625" bestFit="1" customWidth="1"/>
    <col min="2" max="2" width="14.1640625" bestFit="1" customWidth="1"/>
  </cols>
  <sheetData>
    <row r="1" spans="1:3" ht="18">
      <c r="A1" s="15" t="s">
        <v>101</v>
      </c>
      <c r="B1" s="16">
        <v>46378</v>
      </c>
      <c r="C1" s="17">
        <v>1986</v>
      </c>
    </row>
    <row r="2" spans="1:3" ht="18">
      <c r="A2" s="15" t="s">
        <v>102</v>
      </c>
      <c r="B2" s="16">
        <v>46380</v>
      </c>
      <c r="C2" s="17">
        <v>1986</v>
      </c>
    </row>
    <row r="3" spans="1:3" ht="18">
      <c r="A3" s="15" t="s">
        <v>103</v>
      </c>
      <c r="B3" s="16">
        <v>46356</v>
      </c>
      <c r="C3" s="17">
        <v>5177</v>
      </c>
    </row>
    <row r="4" spans="1:3" ht="18">
      <c r="A4" s="15" t="s">
        <v>104</v>
      </c>
      <c r="B4" s="16">
        <v>46350</v>
      </c>
      <c r="C4" s="17">
        <v>1986</v>
      </c>
    </row>
    <row r="5" spans="1:3" ht="18">
      <c r="A5" s="15" t="s">
        <v>105</v>
      </c>
      <c r="B5" s="16">
        <v>46337</v>
      </c>
      <c r="C5" s="17">
        <v>3396</v>
      </c>
    </row>
    <row r="6" spans="1:3" ht="18">
      <c r="A6" s="15" t="s">
        <v>106</v>
      </c>
      <c r="B6" s="16">
        <v>46337</v>
      </c>
      <c r="C6" s="17">
        <v>8874</v>
      </c>
    </row>
    <row r="7" spans="1:3" ht="18">
      <c r="A7" s="15" t="s">
        <v>107</v>
      </c>
      <c r="B7" s="16">
        <v>46337</v>
      </c>
      <c r="C7" s="17">
        <v>1986</v>
      </c>
    </row>
    <row r="8" spans="1:3" ht="18">
      <c r="A8" s="15" t="s">
        <v>108</v>
      </c>
      <c r="B8" s="16">
        <v>46350</v>
      </c>
      <c r="C8" s="17">
        <v>1986</v>
      </c>
    </row>
    <row r="9" spans="1:3" ht="18">
      <c r="A9" s="15" t="s">
        <v>109</v>
      </c>
      <c r="B9" s="16">
        <v>46350</v>
      </c>
      <c r="C9" s="17">
        <v>1986</v>
      </c>
    </row>
    <row r="10" spans="1:3">
      <c r="C10" s="18">
        <f>SUM(C1:C9)</f>
        <v>29363</v>
      </c>
    </row>
  </sheetData>
  <phoneticPr fontId="5"/>
  <hyperlinks>
    <hyperlink ref="A1" r:id="rId1" display="https://www.value-domain.com/extdom.php?action=extdom2&amp;domainname=itsukakirufuku.com" xr:uid="{4BAC928D-0837-3B46-A75B-857503F534A5}"/>
    <hyperlink ref="A2" r:id="rId2" display="https://www.value-domain.com/extdom.php?action=extdom2&amp;domainname=itsukashiraishi.com" xr:uid="{85C9DCBD-A52B-8E46-A3F0-660A647F53EA}"/>
    <hyperlink ref="A3" r:id="rId3" display="https://www.value-domain.com/extdom.php?action=extdom2&amp;domainname=natrium.co.jp" xr:uid="{38841CD6-8C35-F740-92C5-E299BC5D2C64}"/>
    <hyperlink ref="A4" r:id="rId4" display="https://www.value-domain.com/extdom.php?action=extdom2&amp;domainname=protocol-spike.com" xr:uid="{0AEDF1A6-C36E-D349-A8C7-2BE770067EA5}"/>
    <hyperlink ref="A5" r:id="rId5" display="https://www.value-domain.com/extdom.php?action=extdom2&amp;domainname=skateright.app" xr:uid="{015C36FA-F2E5-E74C-99FF-31029B2B1748}"/>
    <hyperlink ref="A6" r:id="rId6" display="https://www.value-domain.com/extdom.php?action=extdom2&amp;domainname=skateright.io" xr:uid="{16263D6A-255B-514B-B2F0-8888FF939DB4}"/>
    <hyperlink ref="A7" r:id="rId7" display="https://www.value-domain.com/extdom.php?action=extdom2&amp;domainname=skaterightmap.com" xr:uid="{6D2AC8A7-1C0E-294E-BD25-A9B7FA73F4DD}"/>
    <hyperlink ref="A8" r:id="rId8" display="https://www.value-domain.com/extdom.php?action=extdom2&amp;domainname=spike-method.com" xr:uid="{9356A246-981F-824A-A57D-7C15528ED3D0}"/>
    <hyperlink ref="A9" r:id="rId9" display="https://www.value-domain.com/extdom.php?action=extdom2&amp;domainname=spike-verse.com" xr:uid="{B549E0D9-C875-CC41-89A9-A24DF6433C68}"/>
  </hyperlinks>
  <pageMargins left="0.7" right="0.7" top="0.75" bottom="0.75" header="0.3" footer="0.3"/>
  <pageSetup paperSize="256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showGridLines="0" workbookViewId="0"/>
  </sheetViews>
  <sheetFormatPr baseColWidth="10" defaultColWidth="8.83203125" defaultRowHeight="14"/>
  <cols>
    <col min="1" max="1" width="2" customWidth="1"/>
    <col min="2" max="2" width="60" customWidth="1"/>
    <col min="3" max="3" width="30" customWidth="1"/>
  </cols>
  <sheetData>
    <row r="1" spans="1:3" ht="22" customHeight="1">
      <c r="A1" s="1"/>
      <c r="B1" s="31" t="s">
        <v>72</v>
      </c>
      <c r="C1" s="32"/>
    </row>
    <row r="2" spans="1:3" ht="22" customHeight="1">
      <c r="A2" s="1"/>
      <c r="B2" s="2"/>
    </row>
    <row r="3" spans="1:3" ht="22" customHeight="1">
      <c r="A3" s="1"/>
      <c r="B3" s="3" t="s">
        <v>73</v>
      </c>
    </row>
    <row r="4" spans="1:3" ht="22" customHeight="1">
      <c r="A4" s="1"/>
      <c r="B4" s="2" t="s">
        <v>74</v>
      </c>
    </row>
    <row r="5" spans="1:3" ht="22" customHeight="1">
      <c r="A5" s="1"/>
      <c r="B5" s="2"/>
    </row>
    <row r="6" spans="1:3" ht="22" customHeight="1">
      <c r="A6" s="1"/>
      <c r="B6" s="3" t="s">
        <v>75</v>
      </c>
    </row>
    <row r="7" spans="1:3" ht="22" customHeight="1">
      <c r="A7" s="1"/>
      <c r="B7" s="2" t="s">
        <v>76</v>
      </c>
    </row>
    <row r="8" spans="1:3" ht="22" customHeight="1">
      <c r="A8" s="1"/>
      <c r="B8" s="2"/>
    </row>
    <row r="9" spans="1:3" ht="22" customHeight="1">
      <c r="A9" s="1"/>
      <c r="B9" s="2" t="s">
        <v>77</v>
      </c>
    </row>
    <row r="10" spans="1:3" ht="22" customHeight="1">
      <c r="A10" s="1"/>
      <c r="B10" s="2" t="s">
        <v>78</v>
      </c>
    </row>
    <row r="11" spans="1:3" ht="22" customHeight="1">
      <c r="A11" s="1"/>
      <c r="B11" s="2"/>
    </row>
    <row r="12" spans="1:3" ht="22" customHeight="1">
      <c r="A12" s="1"/>
      <c r="B12" s="2" t="s">
        <v>79</v>
      </c>
    </row>
    <row r="13" spans="1:3" ht="22" customHeight="1">
      <c r="A13" s="1"/>
      <c r="B13" s="2" t="s">
        <v>80</v>
      </c>
    </row>
    <row r="14" spans="1:3" ht="22" customHeight="1">
      <c r="A14" s="1"/>
      <c r="B14" s="2" t="s">
        <v>81</v>
      </c>
    </row>
    <row r="15" spans="1:3" ht="22" customHeight="1">
      <c r="A15" s="1"/>
      <c r="B15" s="2"/>
    </row>
    <row r="16" spans="1:3" ht="22" customHeight="1">
      <c r="A16" s="1"/>
      <c r="B16" s="3" t="s">
        <v>82</v>
      </c>
    </row>
    <row r="17" spans="1:2" ht="22" customHeight="1">
      <c r="A17" s="1"/>
      <c r="B17" s="2" t="s">
        <v>83</v>
      </c>
    </row>
    <row r="18" spans="1:2" ht="22" customHeight="1">
      <c r="A18" s="1"/>
      <c r="B18" s="2" t="s">
        <v>84</v>
      </c>
    </row>
    <row r="19" spans="1:2" ht="22" customHeight="1">
      <c r="A19" s="1"/>
      <c r="B19" s="2"/>
    </row>
    <row r="20" spans="1:2" ht="22" customHeight="1">
      <c r="A20" s="1"/>
      <c r="B20" s="2" t="s">
        <v>85</v>
      </c>
    </row>
    <row r="21" spans="1:2" ht="22" customHeight="1">
      <c r="A21" s="1"/>
      <c r="B21" s="2" t="s">
        <v>86</v>
      </c>
    </row>
    <row r="22" spans="1:2" ht="22" customHeight="1">
      <c r="A22" s="1"/>
      <c r="B22" s="2"/>
    </row>
    <row r="23" spans="1:2" ht="22" customHeight="1">
      <c r="A23" s="1"/>
      <c r="B23" s="2" t="s">
        <v>87</v>
      </c>
    </row>
    <row r="24" spans="1:2" ht="22" customHeight="1">
      <c r="A24" s="1"/>
      <c r="B24" s="2" t="s">
        <v>88</v>
      </c>
    </row>
    <row r="25" spans="1:2" ht="22" customHeight="1">
      <c r="A25" s="1"/>
      <c r="B25" s="2" t="s">
        <v>89</v>
      </c>
    </row>
    <row r="26" spans="1:2" ht="22" customHeight="1">
      <c r="A26" s="1"/>
      <c r="B26" s="2"/>
    </row>
    <row r="27" spans="1:2" ht="22" customHeight="1">
      <c r="A27" s="1"/>
      <c r="B27" s="3" t="s">
        <v>90</v>
      </c>
    </row>
    <row r="28" spans="1:2" ht="22" customHeight="1">
      <c r="A28" s="1"/>
      <c r="B28" s="2" t="s">
        <v>91</v>
      </c>
    </row>
    <row r="29" spans="1:2" ht="22" customHeight="1">
      <c r="A29" s="1"/>
      <c r="B29" s="2" t="s">
        <v>92</v>
      </c>
    </row>
    <row r="30" spans="1:2" ht="22" customHeight="1">
      <c r="A30" s="1"/>
      <c r="B30" s="2" t="s">
        <v>93</v>
      </c>
    </row>
  </sheetData>
  <mergeCells count="1">
    <mergeCell ref="B1:C1"/>
  </mergeCells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CFシミュレーション</vt:lpstr>
      <vt:lpstr>Sheet1</vt:lpstr>
      <vt:lpstr>使い方ガイド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工藤雅俊</cp:lastModifiedBy>
  <dcterms:created xsi:type="dcterms:W3CDTF">2026-03-07T00:36:34Z</dcterms:created>
  <dcterms:modified xsi:type="dcterms:W3CDTF">2026-03-07T05:01:17Z</dcterms:modified>
</cp:coreProperties>
</file>
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kudoumasatoshi/NaTRIUM Dropbox/NaTRIUM/自社-8/mywebsite/figuraffiti/Doc/"/>
    </mc:Choice>
  </mc:AlternateContent>
  <xr:revisionPtr revIDLastSave="0" documentId="13_ncr:1_{AD89A2BC-B6CE-A946-B60A-28CC24CC9CF4}" xr6:coauthVersionLast="47" xr6:coauthVersionMax="47" xr10:uidLastSave="{00000000-0000-0000-0000-000000000000}"/>
  <bookViews>
    <workbookView xWindow="14240" yWindow="23400" windowWidth="19220" windowHeight="18040" activeTab="1" xr2:uid="{00DA5001-39A5-DC49-B7E5-F0FFABB892FA}"/>
  </bookViews>
  <sheets>
    <sheet name="投入カレンダー" sheetId="6" r:id="rId1"/>
    <sheet name="中期３カ年" sheetId="20" r:id="rId2"/>
    <sheet name="シーズン概要" sheetId="16" r:id="rId3"/>
    <sheet name="Sheet1" sheetId="19" r:id="rId4"/>
    <sheet name="投入計画" sheetId="17" r:id="rId5"/>
    <sheet name="売上粗利計画" sheetId="14" r:id="rId6"/>
    <sheet name="広告" sheetId="15" r:id="rId7"/>
    <sheet name="SKUマスタ" sheetId="8" r:id="rId8"/>
    <sheet name="SKUカラー" sheetId="18" r:id="rId9"/>
    <sheet name="発注書" sheetId="2" r:id="rId10"/>
    <sheet name="カテゴリ別構成" sheetId="10" r:id="rId11"/>
    <sheet name="お見積もり" sheetId="5" r:id="rId12"/>
    <sheet name="カラーコード" sheetId="3" r:id="rId13"/>
    <sheet name="デリバリーリスト" sheetId="4" r:id="rId14"/>
    <sheet name="Marketing" sheetId="13" r:id="rId15"/>
    <sheet name="reference" sheetId="1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0" l="1"/>
  <c r="E9" i="20" s="1"/>
  <c r="E5" i="20"/>
  <c r="F7" i="20"/>
  <c r="F11" i="20" s="1"/>
  <c r="H24" i="16"/>
  <c r="H25" i="16"/>
  <c r="G7" i="14"/>
  <c r="G3" i="14"/>
  <c r="G4" i="14"/>
  <c r="G5" i="14"/>
  <c r="G6" i="14"/>
  <c r="K3" i="18"/>
  <c r="K3" i="14" s="1"/>
  <c r="D9" i="18"/>
  <c r="P9" i="18"/>
  <c r="B3" i="8"/>
  <c r="M6" i="14"/>
  <c r="M4" i="14"/>
  <c r="M3" i="14"/>
  <c r="S8" i="14"/>
  <c r="H3" i="8"/>
  <c r="N3" i="18" s="1"/>
  <c r="H4" i="8"/>
  <c r="N4" i="18" s="1"/>
  <c r="H5" i="8"/>
  <c r="N6" i="18" s="1"/>
  <c r="K7" i="18"/>
  <c r="K6" i="14" s="1"/>
  <c r="P7" i="18"/>
  <c r="D4" i="18"/>
  <c r="K4" i="18"/>
  <c r="K4" i="14" s="1"/>
  <c r="P4" i="18"/>
  <c r="K6" i="18"/>
  <c r="K9" i="18"/>
  <c r="P6" i="18"/>
  <c r="P3" i="18"/>
  <c r="D3" i="18"/>
  <c r="K4" i="5"/>
  <c r="R10" i="5"/>
  <c r="T10" i="5"/>
  <c r="I9" i="5"/>
  <c r="I10" i="5"/>
  <c r="I5" i="5"/>
  <c r="I6" i="5"/>
  <c r="Q16" i="5"/>
  <c r="Q17" i="5"/>
  <c r="J3" i="8"/>
  <c r="J4" i="8"/>
  <c r="J5" i="8"/>
  <c r="J6" i="8"/>
  <c r="J7" i="8"/>
  <c r="D3" i="8"/>
  <c r="D4" i="8"/>
  <c r="D5" i="8"/>
  <c r="D6" i="8"/>
  <c r="D7" i="8"/>
  <c r="C4" i="8"/>
  <c r="C5" i="8"/>
  <c r="C6" i="8"/>
  <c r="C7" i="8"/>
  <c r="C3" i="8"/>
  <c r="B4" i="8"/>
  <c r="B5" i="8"/>
  <c r="B6" i="8"/>
  <c r="B7" i="8"/>
  <c r="O5" i="17"/>
  <c r="O6" i="17"/>
  <c r="O7" i="17"/>
  <c r="O4" i="17"/>
  <c r="K8" i="17"/>
  <c r="G33" i="16"/>
  <c r="L8" i="14"/>
  <c r="AQ21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G25" i="16"/>
  <c r="H39" i="16"/>
  <c r="AQ51" i="16"/>
  <c r="AR51" i="16"/>
  <c r="AS51" i="16"/>
  <c r="G57" i="16"/>
  <c r="D33" i="15"/>
  <c r="E33" i="15"/>
  <c r="F33" i="15"/>
  <c r="C33" i="15"/>
  <c r="H27" i="15"/>
  <c r="G25" i="15"/>
  <c r="G24" i="15"/>
  <c r="G23" i="15"/>
  <c r="G33" i="15" s="1"/>
  <c r="G32" i="15"/>
  <c r="P8" i="14"/>
  <c r="O8" i="14"/>
  <c r="E13" i="20" l="1"/>
  <c r="F9" i="20"/>
  <c r="F5" i="20"/>
  <c r="G7" i="20"/>
  <c r="G11" i="20" s="1"/>
  <c r="I23" i="16"/>
  <c r="F9" i="17"/>
  <c r="L10" i="18"/>
  <c r="K7" i="14"/>
  <c r="K5" i="14"/>
  <c r="I7" i="8"/>
  <c r="I5" i="8"/>
  <c r="O9" i="18" s="1"/>
  <c r="T5" i="14"/>
  <c r="I4" i="8"/>
  <c r="Q4" i="14"/>
  <c r="U4" i="14" s="1"/>
  <c r="V4" i="14" s="1"/>
  <c r="T4" i="14"/>
  <c r="N4" i="14"/>
  <c r="I6" i="8"/>
  <c r="T6" i="14"/>
  <c r="K8" i="14"/>
  <c r="I3" i="8"/>
  <c r="N3" i="14"/>
  <c r="T3" i="14"/>
  <c r="N6" i="14"/>
  <c r="Q6" i="14"/>
  <c r="U6" i="14" s="1"/>
  <c r="V6" i="14" s="1"/>
  <c r="F6" i="2"/>
  <c r="F10" i="2"/>
  <c r="I14" i="2"/>
  <c r="I10" i="2"/>
  <c r="I6" i="2"/>
  <c r="I22" i="2"/>
  <c r="I21" i="2"/>
  <c r="C4" i="2"/>
  <c r="D4" i="2" s="1"/>
  <c r="C3" i="2"/>
  <c r="D3" i="2" s="1"/>
  <c r="I3" i="2"/>
  <c r="I4" i="2"/>
  <c r="F14" i="2"/>
  <c r="F4" i="2"/>
  <c r="F3" i="2"/>
  <c r="F22" i="2"/>
  <c r="F21" i="2"/>
  <c r="F40" i="2"/>
  <c r="E27" i="2"/>
  <c r="E3" i="2"/>
  <c r="E14" i="2"/>
  <c r="E4" i="2"/>
  <c r="E10" i="2"/>
  <c r="E6" i="2"/>
  <c r="C21" i="2"/>
  <c r="D21" i="2" s="1"/>
  <c r="C22" i="2"/>
  <c r="D22" i="2" s="1"/>
  <c r="E22" i="2"/>
  <c r="E21" i="2"/>
  <c r="L8" i="18"/>
  <c r="L5" i="18"/>
  <c r="C10" i="2"/>
  <c r="D10" i="2" s="1"/>
  <c r="C6" i="2"/>
  <c r="D6" i="2" s="1"/>
  <c r="C14" i="2"/>
  <c r="D14" i="2" s="1"/>
  <c r="G3" i="8"/>
  <c r="M7" i="14"/>
  <c r="N7" i="14" s="1"/>
  <c r="T7" i="14"/>
  <c r="M5" i="14"/>
  <c r="Q7" i="14"/>
  <c r="U7" i="14" s="1"/>
  <c r="V7" i="14" s="1"/>
  <c r="F43" i="2"/>
  <c r="F44" i="2"/>
  <c r="C43" i="2"/>
  <c r="D43" i="2" s="1"/>
  <c r="C44" i="2"/>
  <c r="D44" i="2" s="1"/>
  <c r="E43" i="2"/>
  <c r="E44" i="2"/>
  <c r="H6" i="8"/>
  <c r="N7" i="18" s="1"/>
  <c r="I16" i="2"/>
  <c r="I15" i="2"/>
  <c r="I18" i="2"/>
  <c r="I17" i="2"/>
  <c r="I27" i="2"/>
  <c r="I28" i="2"/>
  <c r="I33" i="2"/>
  <c r="I34" i="2"/>
  <c r="I42" i="2"/>
  <c r="I41" i="2"/>
  <c r="I44" i="2"/>
  <c r="I43" i="2"/>
  <c r="F18" i="2"/>
  <c r="F15" i="2"/>
  <c r="F28" i="2"/>
  <c r="F27" i="2"/>
  <c r="F30" i="2"/>
  <c r="F29" i="2"/>
  <c r="F31" i="2"/>
  <c r="F34" i="2"/>
  <c r="F32" i="2"/>
  <c r="F33" i="2"/>
  <c r="F41" i="2"/>
  <c r="F42" i="2"/>
  <c r="C41" i="2"/>
  <c r="D41" i="2" s="1"/>
  <c r="C42" i="2"/>
  <c r="D42" i="2" s="1"/>
  <c r="E41" i="2"/>
  <c r="E42" i="2"/>
  <c r="I11" i="2"/>
  <c r="I13" i="2"/>
  <c r="I12" i="2"/>
  <c r="I19" i="2"/>
  <c r="I20" i="2"/>
  <c r="I24" i="2"/>
  <c r="I26" i="2"/>
  <c r="I25" i="2"/>
  <c r="I23" i="2"/>
  <c r="I30" i="2"/>
  <c r="I32" i="2"/>
  <c r="I31" i="2"/>
  <c r="I29" i="2"/>
  <c r="I36" i="2"/>
  <c r="I37" i="2"/>
  <c r="I38" i="2"/>
  <c r="I39" i="2"/>
  <c r="I40" i="2"/>
  <c r="I35" i="2"/>
  <c r="F13" i="2"/>
  <c r="F12" i="2"/>
  <c r="F11" i="2"/>
  <c r="F7" i="2"/>
  <c r="F8" i="2"/>
  <c r="F9" i="2"/>
  <c r="F16" i="2"/>
  <c r="F17" i="2"/>
  <c r="F20" i="2"/>
  <c r="F19" i="2"/>
  <c r="F25" i="2"/>
  <c r="F23" i="2"/>
  <c r="F26" i="2"/>
  <c r="F24" i="2"/>
  <c r="F35" i="2"/>
  <c r="F39" i="2"/>
  <c r="F38" i="2"/>
  <c r="F37" i="2"/>
  <c r="F36" i="2"/>
  <c r="E17" i="2"/>
  <c r="E15" i="2"/>
  <c r="E16" i="2"/>
  <c r="E18" i="2"/>
  <c r="E19" i="2"/>
  <c r="E20" i="2"/>
  <c r="E24" i="2"/>
  <c r="E26" i="2"/>
  <c r="E28" i="2"/>
  <c r="E23" i="2"/>
  <c r="E25" i="2"/>
  <c r="E34" i="2"/>
  <c r="E29" i="2"/>
  <c r="E33" i="2"/>
  <c r="E32" i="2"/>
  <c r="E30" i="2"/>
  <c r="E31" i="2"/>
  <c r="E36" i="2"/>
  <c r="E38" i="2"/>
  <c r="E40" i="2"/>
  <c r="E37" i="2"/>
  <c r="E35" i="2"/>
  <c r="E39" i="2"/>
  <c r="E13" i="2"/>
  <c r="E9" i="2"/>
  <c r="E8" i="2"/>
  <c r="E11" i="2"/>
  <c r="E7" i="2"/>
  <c r="E12" i="2"/>
  <c r="C18" i="2"/>
  <c r="D18" i="2" s="1"/>
  <c r="C16" i="2"/>
  <c r="D16" i="2" s="1"/>
  <c r="C17" i="2"/>
  <c r="D17" i="2" s="1"/>
  <c r="C15" i="2"/>
  <c r="D15" i="2" s="1"/>
  <c r="C19" i="2"/>
  <c r="D19" i="2" s="1"/>
  <c r="C20" i="2"/>
  <c r="D20" i="2" s="1"/>
  <c r="C23" i="2"/>
  <c r="D23" i="2" s="1"/>
  <c r="C25" i="2"/>
  <c r="D25" i="2" s="1"/>
  <c r="C27" i="2"/>
  <c r="D27" i="2" s="1"/>
  <c r="C26" i="2"/>
  <c r="D26" i="2" s="1"/>
  <c r="C28" i="2"/>
  <c r="D28" i="2" s="1"/>
  <c r="C24" i="2"/>
  <c r="D24" i="2" s="1"/>
  <c r="C31" i="2"/>
  <c r="D31" i="2" s="1"/>
  <c r="C32" i="2"/>
  <c r="D32" i="2" s="1"/>
  <c r="C33" i="2"/>
  <c r="D33" i="2" s="1"/>
  <c r="C34" i="2"/>
  <c r="D34" i="2" s="1"/>
  <c r="C29" i="2"/>
  <c r="D29" i="2" s="1"/>
  <c r="C30" i="2"/>
  <c r="D30" i="2" s="1"/>
  <c r="C36" i="2"/>
  <c r="D36" i="2" s="1"/>
  <c r="C39" i="2"/>
  <c r="D39" i="2" s="1"/>
  <c r="C40" i="2"/>
  <c r="D40" i="2" s="1"/>
  <c r="C38" i="2"/>
  <c r="D38" i="2" s="1"/>
  <c r="C35" i="2"/>
  <c r="D35" i="2" s="1"/>
  <c r="C37" i="2"/>
  <c r="D37" i="2" s="1"/>
  <c r="C13" i="2"/>
  <c r="D13" i="2" s="1"/>
  <c r="C7" i="2"/>
  <c r="D7" i="2" s="1"/>
  <c r="C12" i="2"/>
  <c r="D12" i="2" s="1"/>
  <c r="C11" i="2"/>
  <c r="D11" i="2" s="1"/>
  <c r="C8" i="2"/>
  <c r="D8" i="2" s="1"/>
  <c r="C9" i="2"/>
  <c r="D9" i="2" s="1"/>
  <c r="H7" i="8"/>
  <c r="N9" i="18" s="1"/>
  <c r="I5" i="2"/>
  <c r="I7" i="2"/>
  <c r="I8" i="2"/>
  <c r="I9" i="2"/>
  <c r="I111" i="2"/>
  <c r="F5" i="2"/>
  <c r="E5" i="2"/>
  <c r="C5" i="2"/>
  <c r="D5" i="2" s="1"/>
  <c r="G47" i="16"/>
  <c r="F13" i="20" l="1"/>
  <c r="G9" i="20"/>
  <c r="G5" i="20"/>
  <c r="H7" i="20"/>
  <c r="I8" i="8"/>
  <c r="O3" i="18"/>
  <c r="O4" i="18"/>
  <c r="O7" i="18"/>
  <c r="O6" i="18"/>
  <c r="Q3" i="14"/>
  <c r="U3" i="14" s="1"/>
  <c r="V3" i="14" s="1"/>
  <c r="C6" i="15"/>
  <c r="Q5" i="14"/>
  <c r="U5" i="14" s="1"/>
  <c r="V5" i="14" s="1"/>
  <c r="N5" i="14"/>
  <c r="G6" i="8"/>
  <c r="E6" i="15"/>
  <c r="G5" i="8"/>
  <c r="G7" i="8"/>
  <c r="G4" i="8"/>
  <c r="G50" i="16"/>
  <c r="G35" i="16"/>
  <c r="I57" i="16"/>
  <c r="T8" i="14"/>
  <c r="D6" i="15"/>
  <c r="G13" i="20" l="1"/>
  <c r="H5" i="20"/>
  <c r="H11" i="20"/>
  <c r="H9" i="20" s="1"/>
  <c r="G54" i="16"/>
  <c r="G58" i="16"/>
  <c r="G60" i="16" s="1"/>
  <c r="O12" i="18"/>
  <c r="M9" i="18"/>
  <c r="K21" i="2"/>
  <c r="L21" i="2" s="1"/>
  <c r="K22" i="2"/>
  <c r="L22" i="2" s="1"/>
  <c r="M4" i="18"/>
  <c r="M3" i="18"/>
  <c r="K3" i="2"/>
  <c r="L3" i="2" s="1"/>
  <c r="K4" i="2"/>
  <c r="L4" i="2" s="1"/>
  <c r="K10" i="2"/>
  <c r="L10" i="2" s="1"/>
  <c r="K14" i="2"/>
  <c r="L14" i="2" s="1"/>
  <c r="K6" i="2"/>
  <c r="L6" i="2" s="1"/>
  <c r="M6" i="18"/>
  <c r="M7" i="18"/>
  <c r="F6" i="15"/>
  <c r="K39" i="2"/>
  <c r="L39" i="2" s="1"/>
  <c r="K40" i="2"/>
  <c r="L40" i="2" s="1"/>
  <c r="K36" i="2"/>
  <c r="L36" i="2" s="1"/>
  <c r="K37" i="2"/>
  <c r="L37" i="2" s="1"/>
  <c r="K38" i="2"/>
  <c r="L38" i="2" s="1"/>
  <c r="K35" i="2"/>
  <c r="L35" i="2" s="1"/>
  <c r="K42" i="2"/>
  <c r="L42" i="2" s="1"/>
  <c r="K41" i="2"/>
  <c r="L41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43" i="2"/>
  <c r="L43" i="2" s="1"/>
  <c r="K44" i="2"/>
  <c r="L44" i="2" s="1"/>
  <c r="E6" i="17"/>
  <c r="K19" i="2"/>
  <c r="L19" i="2" s="1"/>
  <c r="K20" i="2"/>
  <c r="L20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5" i="2"/>
  <c r="K13" i="2"/>
  <c r="L13" i="2" s="1"/>
  <c r="K12" i="2"/>
  <c r="L12" i="2" s="1"/>
  <c r="K11" i="2"/>
  <c r="L11" i="2" s="1"/>
  <c r="K9" i="2"/>
  <c r="L9" i="2" s="1"/>
  <c r="K8" i="2"/>
  <c r="L8" i="2" s="1"/>
  <c r="K7" i="2"/>
  <c r="L7" i="2" s="1"/>
  <c r="K15" i="2"/>
  <c r="L15" i="2" s="1"/>
  <c r="K18" i="2"/>
  <c r="L18" i="2" s="1"/>
  <c r="K16" i="2"/>
  <c r="L16" i="2" s="1"/>
  <c r="K17" i="2"/>
  <c r="L17" i="2" s="1"/>
  <c r="E4" i="17"/>
  <c r="G4" i="17" s="1"/>
  <c r="H33" i="16"/>
  <c r="H34" i="16" s="1"/>
  <c r="I24" i="16"/>
  <c r="H31" i="16"/>
  <c r="H47" i="16"/>
  <c r="H50" i="16" s="1"/>
  <c r="N8" i="14"/>
  <c r="Q8" i="14"/>
  <c r="C7" i="15"/>
  <c r="C12" i="15" s="1"/>
  <c r="E7" i="15"/>
  <c r="E12" i="15" s="1"/>
  <c r="H13" i="20" l="1"/>
  <c r="H6" i="17"/>
  <c r="I6" i="17"/>
  <c r="G6" i="17"/>
  <c r="H4" i="17"/>
  <c r="F4" i="17"/>
  <c r="E7" i="17"/>
  <c r="F7" i="15"/>
  <c r="F12" i="15" s="1"/>
  <c r="F15" i="15" s="1"/>
  <c r="J23" i="16"/>
  <c r="G9" i="17"/>
  <c r="D7" i="15"/>
  <c r="D12" i="15" s="1"/>
  <c r="D15" i="15" s="1"/>
  <c r="E5" i="17"/>
  <c r="H58" i="16"/>
  <c r="H60" i="16" s="1"/>
  <c r="U8" i="14"/>
  <c r="G6" i="15"/>
  <c r="E20" i="15"/>
  <c r="E18" i="15"/>
  <c r="E14" i="15"/>
  <c r="E17" i="15"/>
  <c r="E15" i="15"/>
  <c r="Q18" i="5"/>
  <c r="R11" i="5"/>
  <c r="T11" i="5" s="1"/>
  <c r="R12" i="5"/>
  <c r="T12" i="5" s="1"/>
  <c r="T13" i="5"/>
  <c r="R7" i="5"/>
  <c r="R6" i="5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" i="3"/>
  <c r="J9" i="5" l="1"/>
  <c r="K9" i="5" s="1"/>
  <c r="M9" i="5" s="1"/>
  <c r="J8" i="5"/>
  <c r="K8" i="5" s="1"/>
  <c r="J7" i="5"/>
  <c r="K7" i="5" s="1"/>
  <c r="J6" i="5"/>
  <c r="K6" i="5" s="1"/>
  <c r="M6" i="5" s="1"/>
  <c r="J5" i="5"/>
  <c r="K5" i="5" s="1"/>
  <c r="M5" i="5" s="1"/>
  <c r="J10" i="5"/>
  <c r="K10" i="5" s="1"/>
  <c r="M10" i="5" s="1"/>
  <c r="P17" i="5"/>
  <c r="R17" i="5" s="1"/>
  <c r="I11" i="5" s="1"/>
  <c r="P16" i="5"/>
  <c r="R16" i="5" s="1"/>
  <c r="F18" i="15"/>
  <c r="F14" i="15"/>
  <c r="F17" i="15"/>
  <c r="F20" i="15"/>
  <c r="J7" i="17"/>
  <c r="J8" i="17" s="1"/>
  <c r="H7" i="17"/>
  <c r="I7" i="17"/>
  <c r="I8" i="17" s="1"/>
  <c r="J24" i="16"/>
  <c r="I47" i="16"/>
  <c r="I50" i="16" s="1"/>
  <c r="I33" i="16"/>
  <c r="G5" i="17"/>
  <c r="G8" i="17" s="1"/>
  <c r="H5" i="17"/>
  <c r="F5" i="17"/>
  <c r="F8" i="17" s="1"/>
  <c r="F10" i="17" s="1"/>
  <c r="E8" i="17"/>
  <c r="D17" i="15"/>
  <c r="D18" i="15"/>
  <c r="D14" i="15"/>
  <c r="D20" i="15"/>
  <c r="D5" i="15"/>
  <c r="D5" i="17" s="1"/>
  <c r="E5" i="15"/>
  <c r="D6" i="17" s="1"/>
  <c r="F5" i="15"/>
  <c r="D7" i="17" s="1"/>
  <c r="C5" i="15"/>
  <c r="H35" i="16"/>
  <c r="H27" i="16"/>
  <c r="H38" i="16"/>
  <c r="I39" i="16" s="1"/>
  <c r="I41" i="16" s="1"/>
  <c r="H32" i="16"/>
  <c r="G7" i="15"/>
  <c r="L5" i="2"/>
  <c r="P18" i="5"/>
  <c r="R18" i="5" s="1"/>
  <c r="I58" i="16" l="1"/>
  <c r="I60" i="16" s="1"/>
  <c r="K23" i="16"/>
  <c r="H9" i="17"/>
  <c r="I3" i="5"/>
  <c r="I14" i="5"/>
  <c r="I4" i="5"/>
  <c r="I15" i="5"/>
  <c r="J19" i="5"/>
  <c r="J11" i="5"/>
  <c r="K11" i="5" s="1"/>
  <c r="M11" i="5" s="1"/>
  <c r="J18" i="5"/>
  <c r="J3" i="5"/>
  <c r="K3" i="5" s="1"/>
  <c r="M3" i="5" s="1"/>
  <c r="J15" i="5"/>
  <c r="J14" i="5"/>
  <c r="J4" i="5"/>
  <c r="H8" i="17"/>
  <c r="G10" i="17"/>
  <c r="D4" i="17"/>
  <c r="D8" i="17" s="1"/>
  <c r="G5" i="15"/>
  <c r="I31" i="16"/>
  <c r="I34" i="16"/>
  <c r="H28" i="16"/>
  <c r="H54" i="16"/>
  <c r="H55" i="16" s="1"/>
  <c r="I25" i="16"/>
  <c r="I42" i="16"/>
  <c r="C18" i="15"/>
  <c r="C20" i="15"/>
  <c r="G20" i="15" s="1"/>
  <c r="C17" i="15"/>
  <c r="C14" i="15"/>
  <c r="C15" i="15"/>
  <c r="I18" i="5"/>
  <c r="I7" i="5"/>
  <c r="I19" i="5"/>
  <c r="I8" i="5"/>
  <c r="J33" i="16" l="1"/>
  <c r="J47" i="16"/>
  <c r="J50" i="16" s="1"/>
  <c r="K24" i="16"/>
  <c r="K18" i="5"/>
  <c r="M18" i="5" s="1"/>
  <c r="K15" i="5"/>
  <c r="M15" i="5" s="1"/>
  <c r="K14" i="5"/>
  <c r="M14" i="5" s="1"/>
  <c r="M4" i="5"/>
  <c r="M8" i="5"/>
  <c r="M7" i="5"/>
  <c r="K19" i="5"/>
  <c r="M19" i="5" s="1"/>
  <c r="H10" i="17"/>
  <c r="I10" i="17" s="1"/>
  <c r="J10" i="17" s="1"/>
  <c r="K10" i="17" s="1"/>
  <c r="I38" i="16"/>
  <c r="I35" i="16"/>
  <c r="I32" i="16"/>
  <c r="J57" i="16"/>
  <c r="I27" i="16"/>
  <c r="J58" i="16" l="1"/>
  <c r="J60" i="16" s="1"/>
  <c r="L23" i="16"/>
  <c r="I9" i="17"/>
  <c r="J41" i="16"/>
  <c r="J39" i="16"/>
  <c r="J31" i="16"/>
  <c r="J34" i="16"/>
  <c r="I28" i="16"/>
  <c r="I54" i="16"/>
  <c r="I55" i="16" s="1"/>
  <c r="K47" i="16" l="1"/>
  <c r="K50" i="16" s="1"/>
  <c r="K33" i="16"/>
  <c r="L24" i="16"/>
  <c r="J25" i="16"/>
  <c r="J42" i="16"/>
  <c r="J35" i="16"/>
  <c r="J38" i="16"/>
  <c r="J32" i="16"/>
  <c r="K58" i="16" l="1"/>
  <c r="M23" i="16"/>
  <c r="J9" i="17"/>
  <c r="K34" i="16"/>
  <c r="K31" i="16"/>
  <c r="K41" i="16"/>
  <c r="K39" i="16"/>
  <c r="K57" i="16"/>
  <c r="J27" i="16"/>
  <c r="K60" i="16" l="1"/>
  <c r="L33" i="16"/>
  <c r="L47" i="16"/>
  <c r="L50" i="16" s="1"/>
  <c r="M24" i="16"/>
  <c r="AQ23" i="16"/>
  <c r="K38" i="16"/>
  <c r="J28" i="16"/>
  <c r="J54" i="16"/>
  <c r="J55" i="16" s="1"/>
  <c r="K25" i="16"/>
  <c r="K42" i="16"/>
  <c r="K35" i="16"/>
  <c r="K32" i="16"/>
  <c r="L58" i="16" l="1"/>
  <c r="N23" i="16"/>
  <c r="AQ24" i="16"/>
  <c r="K9" i="17"/>
  <c r="E9" i="17" s="1"/>
  <c r="L39" i="16"/>
  <c r="L41" i="16"/>
  <c r="L34" i="16"/>
  <c r="L31" i="16"/>
  <c r="K27" i="16"/>
  <c r="L57" i="16"/>
  <c r="L60" i="16" l="1"/>
  <c r="M33" i="16"/>
  <c r="AQ33" i="16" s="1"/>
  <c r="M47" i="16"/>
  <c r="N24" i="16"/>
  <c r="O23" i="16" s="1"/>
  <c r="O24" i="16" s="1"/>
  <c r="L42" i="16"/>
  <c r="L25" i="16"/>
  <c r="L38" i="16"/>
  <c r="L35" i="16"/>
  <c r="L32" i="16"/>
  <c r="K54" i="16"/>
  <c r="K55" i="16" s="1"/>
  <c r="K28" i="16"/>
  <c r="AQ47" i="16" l="1"/>
  <c r="M50" i="16"/>
  <c r="N47" i="16"/>
  <c r="N50" i="16" s="1"/>
  <c r="N33" i="16"/>
  <c r="L27" i="16"/>
  <c r="M57" i="16"/>
  <c r="M41" i="16"/>
  <c r="M39" i="16"/>
  <c r="M31" i="16"/>
  <c r="M34" i="16"/>
  <c r="AQ34" i="16" s="1"/>
  <c r="P23" i="16"/>
  <c r="N58" i="16" l="1"/>
  <c r="M58" i="16"/>
  <c r="M60" i="16" s="1"/>
  <c r="AQ50" i="16"/>
  <c r="M35" i="16"/>
  <c r="L28" i="16"/>
  <c r="L54" i="16"/>
  <c r="L55" i="16" s="1"/>
  <c r="M42" i="16"/>
  <c r="M25" i="16"/>
  <c r="M32" i="16"/>
  <c r="M38" i="16"/>
  <c r="P24" i="16"/>
  <c r="O47" i="16"/>
  <c r="O33" i="16"/>
  <c r="N34" i="16" l="1"/>
  <c r="N31" i="16"/>
  <c r="AQ35" i="16"/>
  <c r="AQ25" i="16"/>
  <c r="N57" i="16"/>
  <c r="N60" i="16" s="1"/>
  <c r="M27" i="16"/>
  <c r="N39" i="16"/>
  <c r="N41" i="16"/>
  <c r="Q23" i="16"/>
  <c r="O50" i="16"/>
  <c r="O58" i="16" s="1"/>
  <c r="N35" i="16" l="1"/>
  <c r="N32" i="16"/>
  <c r="N38" i="16"/>
  <c r="AQ27" i="16"/>
  <c r="M54" i="16"/>
  <c r="M55" i="16" s="1"/>
  <c r="M28" i="16"/>
  <c r="N25" i="16"/>
  <c r="N42" i="16"/>
  <c r="Q24" i="16"/>
  <c r="P47" i="16"/>
  <c r="P33" i="16"/>
  <c r="O31" i="16" l="1"/>
  <c r="O34" i="16"/>
  <c r="O41" i="16"/>
  <c r="O39" i="16"/>
  <c r="AQ54" i="16"/>
  <c r="AQ55" i="16" s="1"/>
  <c r="AQ28" i="16"/>
  <c r="O57" i="16"/>
  <c r="O60" i="16" s="1"/>
  <c r="N27" i="16"/>
  <c r="R23" i="16"/>
  <c r="P50" i="16"/>
  <c r="P58" i="16" s="1"/>
  <c r="O38" i="16" l="1"/>
  <c r="O35" i="16"/>
  <c r="O32" i="16"/>
  <c r="O25" i="16"/>
  <c r="O42" i="16"/>
  <c r="N54" i="16"/>
  <c r="N55" i="16" s="1"/>
  <c r="N28" i="16"/>
  <c r="R24" i="16"/>
  <c r="Q47" i="16"/>
  <c r="Q33" i="16"/>
  <c r="P31" i="16" l="1"/>
  <c r="P34" i="16"/>
  <c r="P57" i="16"/>
  <c r="P60" i="16" s="1"/>
  <c r="O27" i="16"/>
  <c r="P41" i="16"/>
  <c r="P39" i="16"/>
  <c r="S23" i="16"/>
  <c r="Q50" i="16"/>
  <c r="Q58" i="16" s="1"/>
  <c r="O54" i="16" l="1"/>
  <c r="O55" i="16" s="1"/>
  <c r="O28" i="16"/>
  <c r="P38" i="16"/>
  <c r="P25" i="16"/>
  <c r="P42" i="16"/>
  <c r="P32" i="16"/>
  <c r="P35" i="16"/>
  <c r="S24" i="16"/>
  <c r="R47" i="16"/>
  <c r="R33" i="16"/>
  <c r="Q31" i="16" l="1"/>
  <c r="Q34" i="16"/>
  <c r="Q39" i="16"/>
  <c r="Q41" i="16"/>
  <c r="P27" i="16"/>
  <c r="Q57" i="16"/>
  <c r="Q60" i="16" s="1"/>
  <c r="T23" i="16"/>
  <c r="R50" i="16"/>
  <c r="R58" i="16" s="1"/>
  <c r="Q38" i="16" l="1"/>
  <c r="P54" i="16"/>
  <c r="P55" i="16" s="1"/>
  <c r="P28" i="16"/>
  <c r="Q32" i="16"/>
  <c r="Q35" i="16"/>
  <c r="Q25" i="16"/>
  <c r="Q42" i="16"/>
  <c r="T24" i="16"/>
  <c r="S47" i="16"/>
  <c r="S33" i="16"/>
  <c r="R41" i="16" l="1"/>
  <c r="R39" i="16"/>
  <c r="Q27" i="16"/>
  <c r="R57" i="16"/>
  <c r="R60" i="16" s="1"/>
  <c r="R31" i="16"/>
  <c r="R34" i="16"/>
  <c r="U23" i="16"/>
  <c r="S50" i="16"/>
  <c r="S58" i="16" s="1"/>
  <c r="R25" i="16" l="1"/>
  <c r="R42" i="16"/>
  <c r="R38" i="16"/>
  <c r="Q54" i="16"/>
  <c r="Q55" i="16" s="1"/>
  <c r="Q28" i="16"/>
  <c r="R35" i="16"/>
  <c r="R32" i="16"/>
  <c r="U24" i="16"/>
  <c r="T47" i="16"/>
  <c r="T33" i="16"/>
  <c r="R27" i="16" l="1"/>
  <c r="S57" i="16"/>
  <c r="S60" i="16" s="1"/>
  <c r="S31" i="16"/>
  <c r="S34" i="16"/>
  <c r="S41" i="16"/>
  <c r="S39" i="16"/>
  <c r="V23" i="16"/>
  <c r="T50" i="16"/>
  <c r="T58" i="16" s="1"/>
  <c r="R54" i="16" l="1"/>
  <c r="R55" i="16" s="1"/>
  <c r="R28" i="16"/>
  <c r="S38" i="16"/>
  <c r="S42" i="16"/>
  <c r="S25" i="16"/>
  <c r="S32" i="16"/>
  <c r="S35" i="16"/>
  <c r="V24" i="16"/>
  <c r="U47" i="16"/>
  <c r="U33" i="16"/>
  <c r="T41" i="16" l="1"/>
  <c r="T39" i="16"/>
  <c r="T31" i="16"/>
  <c r="T34" i="16"/>
  <c r="S27" i="16"/>
  <c r="T57" i="16"/>
  <c r="T60" i="16" s="1"/>
  <c r="W23" i="16"/>
  <c r="U50" i="16"/>
  <c r="U58" i="16" s="1"/>
  <c r="T25" i="16" l="1"/>
  <c r="T42" i="16"/>
  <c r="T38" i="16"/>
  <c r="T32" i="16"/>
  <c r="T35" i="16"/>
  <c r="S28" i="16"/>
  <c r="S54" i="16"/>
  <c r="S55" i="16" s="1"/>
  <c r="W24" i="16"/>
  <c r="V47" i="16"/>
  <c r="V33" i="16"/>
  <c r="T27" i="16" l="1"/>
  <c r="U57" i="16"/>
  <c r="U60" i="16" s="1"/>
  <c r="U31" i="16"/>
  <c r="U34" i="16"/>
  <c r="U41" i="16"/>
  <c r="U39" i="16"/>
  <c r="X23" i="16"/>
  <c r="V50" i="16"/>
  <c r="V58" i="16" s="1"/>
  <c r="U38" i="16" l="1"/>
  <c r="T54" i="16"/>
  <c r="T55" i="16" s="1"/>
  <c r="T28" i="16"/>
  <c r="U42" i="16"/>
  <c r="U25" i="16"/>
  <c r="U35" i="16"/>
  <c r="U32" i="16"/>
  <c r="X24" i="16"/>
  <c r="W47" i="16"/>
  <c r="W33" i="16"/>
  <c r="V39" i="16" l="1"/>
  <c r="V41" i="16"/>
  <c r="V34" i="16"/>
  <c r="V31" i="16"/>
  <c r="U27" i="16"/>
  <c r="V57" i="16"/>
  <c r="V60" i="16" s="1"/>
  <c r="Y23" i="16"/>
  <c r="W50" i="16"/>
  <c r="W58" i="16" s="1"/>
  <c r="V25" i="16" l="1"/>
  <c r="V42" i="16"/>
  <c r="V38" i="16"/>
  <c r="V35" i="16"/>
  <c r="V32" i="16"/>
  <c r="U28" i="16"/>
  <c r="U54" i="16"/>
  <c r="U55" i="16" s="1"/>
  <c r="AR23" i="16"/>
  <c r="AR21" i="16" s="1"/>
  <c r="Y24" i="16"/>
  <c r="X47" i="16"/>
  <c r="X33" i="16"/>
  <c r="V27" i="16" l="1"/>
  <c r="W57" i="16"/>
  <c r="W60" i="16" s="1"/>
  <c r="W41" i="16"/>
  <c r="W39" i="16"/>
  <c r="W31" i="16"/>
  <c r="W34" i="16"/>
  <c r="AR24" i="16"/>
  <c r="Z23" i="16"/>
  <c r="X50" i="16"/>
  <c r="X58" i="16" s="1"/>
  <c r="V54" i="16" l="1"/>
  <c r="V55" i="16" s="1"/>
  <c r="V28" i="16"/>
  <c r="W38" i="16"/>
  <c r="W42" i="16"/>
  <c r="W25" i="16"/>
  <c r="W32" i="16"/>
  <c r="W35" i="16"/>
  <c r="Z24" i="16"/>
  <c r="Y47" i="16"/>
  <c r="Y33" i="16"/>
  <c r="X41" i="16" l="1"/>
  <c r="X39" i="16"/>
  <c r="X57" i="16"/>
  <c r="X60" i="16" s="1"/>
  <c r="W27" i="16"/>
  <c r="X31" i="16"/>
  <c r="X34" i="16"/>
  <c r="AA23" i="16"/>
  <c r="AR47" i="16"/>
  <c r="Y50" i="16"/>
  <c r="AR33" i="16"/>
  <c r="W54" i="16" l="1"/>
  <c r="W55" i="16" s="1"/>
  <c r="W28" i="16"/>
  <c r="X35" i="16"/>
  <c r="X25" i="16"/>
  <c r="X42" i="16"/>
  <c r="X38" i="16"/>
  <c r="X32" i="16"/>
  <c r="AR50" i="16"/>
  <c r="Y58" i="16"/>
  <c r="AA24" i="16"/>
  <c r="Z47" i="16"/>
  <c r="Z33" i="16"/>
  <c r="Y31" i="16" l="1"/>
  <c r="Y34" i="16"/>
  <c r="AR34" i="16" s="1"/>
  <c r="Y39" i="16"/>
  <c r="Y41" i="16"/>
  <c r="Y57" i="16"/>
  <c r="Y60" i="16" s="1"/>
  <c r="X27" i="16"/>
  <c r="AB23" i="16"/>
  <c r="Z50" i="16"/>
  <c r="Z58" i="16" s="1"/>
  <c r="X28" i="16" l="1"/>
  <c r="X54" i="16"/>
  <c r="X55" i="16" s="1"/>
  <c r="Y38" i="16"/>
  <c r="Y35" i="16"/>
  <c r="Z34" i="16" s="1"/>
  <c r="Y32" i="16"/>
  <c r="Y42" i="16"/>
  <c r="Y25" i="16"/>
  <c r="Z57" i="16" s="1"/>
  <c r="Z60" i="16" s="1"/>
  <c r="AB24" i="16"/>
  <c r="AA47" i="16"/>
  <c r="AA33" i="16"/>
  <c r="Z39" i="16" l="1"/>
  <c r="Z41" i="16"/>
  <c r="AR35" i="16"/>
  <c r="Z31" i="16"/>
  <c r="AR25" i="16"/>
  <c r="Y27" i="16"/>
  <c r="AC23" i="16"/>
  <c r="AA50" i="16"/>
  <c r="AA58" i="16" s="1"/>
  <c r="Z35" i="16" l="1"/>
  <c r="Z25" i="16"/>
  <c r="Z42" i="16"/>
  <c r="AR27" i="16"/>
  <c r="Y28" i="16"/>
  <c r="Y54" i="16"/>
  <c r="Y55" i="16" s="1"/>
  <c r="Z38" i="16"/>
  <c r="Z32" i="16"/>
  <c r="AC24" i="16"/>
  <c r="AB47" i="16"/>
  <c r="AB33" i="16"/>
  <c r="AA31" i="16" l="1"/>
  <c r="AA34" i="16"/>
  <c r="Z27" i="16"/>
  <c r="AA57" i="16"/>
  <c r="AA60" i="16" s="1"/>
  <c r="AR54" i="16"/>
  <c r="AR55" i="16" s="1"/>
  <c r="AR28" i="16"/>
  <c r="AA41" i="16"/>
  <c r="AA39" i="16"/>
  <c r="AD23" i="16"/>
  <c r="AB50" i="16"/>
  <c r="AB58" i="16" s="1"/>
  <c r="AA38" i="16" l="1"/>
  <c r="AA35" i="16"/>
  <c r="AA32" i="16"/>
  <c r="Z28" i="16"/>
  <c r="Z54" i="16"/>
  <c r="Z55" i="16" s="1"/>
  <c r="AA42" i="16"/>
  <c r="AA25" i="16"/>
  <c r="AD24" i="16"/>
  <c r="AC47" i="16"/>
  <c r="AC33" i="16"/>
  <c r="AB41" i="16" l="1"/>
  <c r="AB39" i="16"/>
  <c r="AB31" i="16"/>
  <c r="AB34" i="16"/>
  <c r="AB57" i="16"/>
  <c r="AB60" i="16" s="1"/>
  <c r="AA27" i="16"/>
  <c r="AE23" i="16"/>
  <c r="AC50" i="16"/>
  <c r="AC58" i="16" s="1"/>
  <c r="AB25" i="16" l="1"/>
  <c r="AB42" i="16"/>
  <c r="AB38" i="16"/>
  <c r="AB32" i="16"/>
  <c r="AB35" i="16"/>
  <c r="AA28" i="16"/>
  <c r="AA54" i="16"/>
  <c r="AA55" i="16" s="1"/>
  <c r="AE24" i="16"/>
  <c r="AD47" i="16"/>
  <c r="AD33" i="16"/>
  <c r="AC57" i="16" l="1"/>
  <c r="AC60" i="16" s="1"/>
  <c r="AB27" i="16"/>
  <c r="AC31" i="16"/>
  <c r="AC34" i="16"/>
  <c r="AC41" i="16"/>
  <c r="AC39" i="16"/>
  <c r="AF23" i="16"/>
  <c r="AD50" i="16"/>
  <c r="AD58" i="16" s="1"/>
  <c r="AB54" i="16" l="1"/>
  <c r="AB55" i="16" s="1"/>
  <c r="AB28" i="16"/>
  <c r="AC38" i="16"/>
  <c r="AC42" i="16"/>
  <c r="AC25" i="16"/>
  <c r="AC35" i="16"/>
  <c r="AC32" i="16"/>
  <c r="AE47" i="16"/>
  <c r="AE33" i="16"/>
  <c r="AF24" i="16"/>
  <c r="AD34" i="16" l="1"/>
  <c r="AD31" i="16"/>
  <c r="AD39" i="16"/>
  <c r="AD41" i="16"/>
  <c r="AC27" i="16"/>
  <c r="AD57" i="16"/>
  <c r="AD60" i="16" s="1"/>
  <c r="AE50" i="16"/>
  <c r="AE58" i="16" s="1"/>
  <c r="AG23" i="16"/>
  <c r="AD38" i="16" l="1"/>
  <c r="AD42" i="16"/>
  <c r="AD25" i="16"/>
  <c r="AD35" i="16"/>
  <c r="AD32" i="16"/>
  <c r="AC28" i="16"/>
  <c r="AC54" i="16"/>
  <c r="AC55" i="16" s="1"/>
  <c r="AG24" i="16"/>
  <c r="AF47" i="16"/>
  <c r="AF33" i="16"/>
  <c r="AD27" i="16" l="1"/>
  <c r="AE57" i="16"/>
  <c r="AE60" i="16" s="1"/>
  <c r="AE39" i="16"/>
  <c r="AE41" i="16"/>
  <c r="AE31" i="16"/>
  <c r="AE34" i="16"/>
  <c r="AH23" i="16"/>
  <c r="AF50" i="16"/>
  <c r="AF58" i="16" s="1"/>
  <c r="AE25" i="16" l="1"/>
  <c r="AE42" i="16"/>
  <c r="AD28" i="16"/>
  <c r="AD54" i="16"/>
  <c r="AD55" i="16" s="1"/>
  <c r="AE38" i="16"/>
  <c r="AE35" i="16"/>
  <c r="AE32" i="16"/>
  <c r="AG33" i="16"/>
  <c r="AH24" i="16"/>
  <c r="AG47" i="16"/>
  <c r="AF57" i="16" l="1"/>
  <c r="AF60" i="16" s="1"/>
  <c r="AE27" i="16"/>
  <c r="AF39" i="16"/>
  <c r="AF41" i="16"/>
  <c r="AF31" i="16"/>
  <c r="AF34" i="16"/>
  <c r="AI23" i="16"/>
  <c r="AG50" i="16"/>
  <c r="AG58" i="16" s="1"/>
  <c r="AF38" i="16" l="1"/>
  <c r="AE54" i="16"/>
  <c r="AE55" i="16" s="1"/>
  <c r="AE28" i="16"/>
  <c r="AF42" i="16"/>
  <c r="AF25" i="16"/>
  <c r="AF35" i="16"/>
  <c r="AF32" i="16"/>
  <c r="AI24" i="16"/>
  <c r="AH47" i="16"/>
  <c r="AH33" i="16"/>
  <c r="AG39" i="16" l="1"/>
  <c r="AG41" i="16"/>
  <c r="AF27" i="16"/>
  <c r="AG57" i="16"/>
  <c r="AG60" i="16" s="1"/>
  <c r="AG31" i="16"/>
  <c r="AG34" i="16"/>
  <c r="AJ23" i="16"/>
  <c r="AH50" i="16"/>
  <c r="AH58" i="16" s="1"/>
  <c r="AG25" i="16" l="1"/>
  <c r="AG42" i="16"/>
  <c r="AF28" i="16"/>
  <c r="AF54" i="16"/>
  <c r="AF55" i="16" s="1"/>
  <c r="AG35" i="16"/>
  <c r="AG32" i="16"/>
  <c r="AG38" i="16"/>
  <c r="AJ24" i="16"/>
  <c r="AI47" i="16"/>
  <c r="AI33" i="16"/>
  <c r="AH39" i="16" l="1"/>
  <c r="AH41" i="16"/>
  <c r="AH57" i="16"/>
  <c r="AH60" i="16" s="1"/>
  <c r="AG27" i="16"/>
  <c r="AH31" i="16"/>
  <c r="AH34" i="16"/>
  <c r="AK23" i="16"/>
  <c r="AI50" i="16"/>
  <c r="AI58" i="16" s="1"/>
  <c r="AH25" i="16" l="1"/>
  <c r="AH42" i="16"/>
  <c r="AG28" i="16"/>
  <c r="AG54" i="16"/>
  <c r="AG55" i="16" s="1"/>
  <c r="AH35" i="16"/>
  <c r="AH32" i="16"/>
  <c r="AH38" i="16"/>
  <c r="AS23" i="16"/>
  <c r="AS21" i="16" s="1"/>
  <c r="AJ47" i="16"/>
  <c r="AJ33" i="16"/>
  <c r="AK24" i="16"/>
  <c r="AH27" i="16" l="1"/>
  <c r="AI57" i="16"/>
  <c r="AI60" i="16" s="1"/>
  <c r="AI31" i="16"/>
  <c r="AI34" i="16"/>
  <c r="AI41" i="16"/>
  <c r="AI39" i="16"/>
  <c r="AJ50" i="16"/>
  <c r="AJ58" i="16" s="1"/>
  <c r="AS24" i="16"/>
  <c r="AL23" i="16"/>
  <c r="AH28" i="16" l="1"/>
  <c r="AH54" i="16"/>
  <c r="AH55" i="16" s="1"/>
  <c r="AI38" i="16"/>
  <c r="AI32" i="16"/>
  <c r="AI35" i="16"/>
  <c r="AI25" i="16"/>
  <c r="AI42" i="16"/>
  <c r="AK33" i="16"/>
  <c r="AL24" i="16"/>
  <c r="AK47" i="16"/>
  <c r="AJ31" i="16" l="1"/>
  <c r="AJ34" i="16"/>
  <c r="AJ41" i="16"/>
  <c r="AJ39" i="16"/>
  <c r="AI27" i="16"/>
  <c r="AJ57" i="16"/>
  <c r="AJ60" i="16" s="1"/>
  <c r="AS33" i="16"/>
  <c r="AM23" i="16"/>
  <c r="AS47" i="16"/>
  <c r="AK50" i="16"/>
  <c r="AJ38" i="16" l="1"/>
  <c r="AI28" i="16"/>
  <c r="AI54" i="16"/>
  <c r="AI55" i="16" s="1"/>
  <c r="AJ25" i="16"/>
  <c r="AJ42" i="16"/>
  <c r="AJ35" i="16"/>
  <c r="AJ32" i="16"/>
  <c r="AL47" i="16"/>
  <c r="AL50" i="16" s="1"/>
  <c r="AL33" i="16"/>
  <c r="AM24" i="16"/>
  <c r="AS50" i="16"/>
  <c r="AK58" i="16"/>
  <c r="AK41" i="16" l="1"/>
  <c r="AK39" i="16"/>
  <c r="AK31" i="16"/>
  <c r="AK34" i="16"/>
  <c r="AS34" i="16" s="1"/>
  <c r="AJ27" i="16"/>
  <c r="AK57" i="16"/>
  <c r="AK60" i="16" s="1"/>
  <c r="AL58" i="16"/>
  <c r="AN23" i="16"/>
  <c r="AK25" i="16" l="1"/>
  <c r="AS25" i="16" s="1"/>
  <c r="AK42" i="16"/>
  <c r="AK38" i="16"/>
  <c r="AK32" i="16"/>
  <c r="AK35" i="16"/>
  <c r="AJ28" i="16"/>
  <c r="AJ54" i="16"/>
  <c r="AJ55" i="16" s="1"/>
  <c r="AM47" i="16"/>
  <c r="AM50" i="16" s="1"/>
  <c r="AM33" i="16"/>
  <c r="AN24" i="16"/>
  <c r="AK27" i="16" l="1"/>
  <c r="AS27" i="16" s="1"/>
  <c r="AL57" i="16"/>
  <c r="AL60" i="16" s="1"/>
  <c r="AL39" i="16"/>
  <c r="AL41" i="16"/>
  <c r="AL34" i="16"/>
  <c r="AL31" i="16"/>
  <c r="AS35" i="16"/>
  <c r="AM58" i="16"/>
  <c r="AO23" i="16"/>
  <c r="AK54" i="16" l="1"/>
  <c r="AK55" i="16" s="1"/>
  <c r="AK28" i="16"/>
  <c r="AL25" i="16"/>
  <c r="AL42" i="16"/>
  <c r="AL35" i="16"/>
  <c r="AL38" i="16"/>
  <c r="AL32" i="16"/>
  <c r="AS28" i="16"/>
  <c r="AS54" i="16"/>
  <c r="AS55" i="16" s="1"/>
  <c r="AO24" i="16"/>
  <c r="AN47" i="16"/>
  <c r="AN50" i="16" s="1"/>
  <c r="AN33" i="16"/>
  <c r="AM57" i="16" l="1"/>
  <c r="AM60" i="16" s="1"/>
  <c r="AL27" i="16"/>
  <c r="AM34" i="16"/>
  <c r="AM31" i="16"/>
  <c r="AM41" i="16"/>
  <c r="AM39" i="16"/>
  <c r="AN58" i="16"/>
  <c r="AL54" i="16" l="1"/>
  <c r="AL55" i="16" s="1"/>
  <c r="AL28" i="16"/>
  <c r="AM35" i="16"/>
  <c r="AM32" i="16"/>
  <c r="AM38" i="16"/>
  <c r="AM42" i="16"/>
  <c r="AM25" i="16"/>
  <c r="AM27" i="16" l="1"/>
  <c r="AN57" i="16"/>
  <c r="AN60" i="16" s="1"/>
  <c r="AN31" i="16"/>
  <c r="AN34" i="16"/>
  <c r="AN41" i="16"/>
  <c r="AN39" i="16"/>
  <c r="AM28" i="16" l="1"/>
  <c r="AM54" i="16"/>
  <c r="AM55" i="16" s="1"/>
  <c r="AN38" i="16"/>
  <c r="AN25" i="16"/>
  <c r="AN42" i="16"/>
  <c r="AN35" i="16"/>
  <c r="AO34" i="16" s="1"/>
  <c r="AN32" i="16"/>
  <c r="AO39" i="16" l="1"/>
  <c r="AO32" i="16" s="1"/>
  <c r="AO41" i="16"/>
  <c r="AN27" i="16"/>
  <c r="AO57" i="16"/>
  <c r="AN28" i="16" l="1"/>
  <c r="AN54" i="16"/>
  <c r="AN55" i="16" s="1"/>
  <c r="AO42" i="16"/>
  <c r="AO25" i="16"/>
  <c r="AO27" i="16" s="1"/>
  <c r="AO28" i="16" l="1"/>
  <c r="AO54" i="16"/>
  <c r="AO55" i="16" s="1"/>
</calcChain>
</file>

<file path=xl/sharedStrings.xml><?xml version="1.0" encoding="utf-8"?>
<sst xmlns="http://schemas.openxmlformats.org/spreadsheetml/2006/main" count="1201" uniqueCount="677">
  <si>
    <t>M</t>
    <phoneticPr fontId="3"/>
  </si>
  <si>
    <t>版代</t>
    <rPh sb="0" eb="2">
      <t xml:space="preserve">ハンダイ </t>
    </rPh>
    <phoneticPr fontId="3"/>
  </si>
  <si>
    <t>単価</t>
    <rPh sb="0" eb="2">
      <t xml:space="preserve">タンカ </t>
    </rPh>
    <phoneticPr fontId="3"/>
  </si>
  <si>
    <t>小計</t>
    <rPh sb="0" eb="2">
      <t xml:space="preserve">ショウケイ </t>
    </rPh>
    <phoneticPr fontId="3"/>
  </si>
  <si>
    <t>S</t>
    <phoneticPr fontId="3"/>
  </si>
  <si>
    <t>カラー</t>
    <phoneticPr fontId="3"/>
  </si>
  <si>
    <t>ホワイト</t>
    <phoneticPr fontId="3"/>
  </si>
  <si>
    <t>STYLE NUMBER</t>
  </si>
  <si>
    <t>SKU</t>
  </si>
  <si>
    <t>CATEGORY</t>
  </si>
  <si>
    <t>SIZE</t>
  </si>
  <si>
    <t>DEL</t>
  </si>
  <si>
    <t>D1</t>
  </si>
  <si>
    <t>WHITE</t>
    <phoneticPr fontId="3"/>
  </si>
  <si>
    <t>L</t>
    <phoneticPr fontId="3"/>
  </si>
  <si>
    <t>デリバリー区分</t>
  </si>
  <si>
    <t>D2</t>
  </si>
  <si>
    <t>D3</t>
  </si>
  <si>
    <t>SS</t>
  </si>
  <si>
    <t>FW</t>
  </si>
  <si>
    <t>シーズン</t>
  </si>
  <si>
    <t>目安時期</t>
  </si>
  <si>
    <t>アイテム例</t>
  </si>
  <si>
    <t>2月下旬〜3月上旬</t>
  </si>
  <si>
    <t>春物立ち上がり（薄手アウター、長袖）</t>
  </si>
  <si>
    <t>3月中旬</t>
  </si>
  <si>
    <t>中間アイテム（カットソー、軽トップス）</t>
  </si>
  <si>
    <t>4月上旬</t>
  </si>
  <si>
    <t>初夏向け（半袖、スカート）</t>
  </si>
  <si>
    <t>D4</t>
  </si>
  <si>
    <t>4月下旬〜5月上旬</t>
  </si>
  <si>
    <t>夏本番アイテム（タンクトップ、ショーツ）</t>
  </si>
  <si>
    <t>8月上旬</t>
  </si>
  <si>
    <t>秋物立ち上がり（ライトアウター）</t>
  </si>
  <si>
    <t>8月下旬〜9月上旬</t>
  </si>
  <si>
    <t>中厚手トップス、パンツ</t>
  </si>
  <si>
    <t>9月中旬</t>
  </si>
  <si>
    <t>本格秋アイテム（ニット、厚手シャツ）</t>
  </si>
  <si>
    <t>10月上旬</t>
  </si>
  <si>
    <t>アウター、防寒アイテム本番</t>
  </si>
  <si>
    <t>行</t>
    <rPh sb="0" eb="1">
      <t>ギョウ</t>
    </rPh>
    <phoneticPr fontId="6"/>
  </si>
  <si>
    <t>名称</t>
    <rPh sb="0" eb="2">
      <t xml:space="preserve">メイショウ </t>
    </rPh>
    <phoneticPr fontId="6"/>
  </si>
  <si>
    <t>Pantone</t>
    <phoneticPr fontId="6"/>
  </si>
  <si>
    <t>パントーン名称</t>
    <rPh sb="5" eb="7">
      <t xml:space="preserve">メイショウ </t>
    </rPh>
    <phoneticPr fontId="6"/>
  </si>
  <si>
    <t>カラー展開（ＮＯ．）</t>
  </si>
  <si>
    <t>刺繍糸パールヨット</t>
    <rPh sb="0" eb="3">
      <t xml:space="preserve">シシュウイト </t>
    </rPh>
    <phoneticPr fontId="6"/>
  </si>
  <si>
    <t>ファスナーテープ</t>
    <phoneticPr fontId="6"/>
  </si>
  <si>
    <t>パイピング新道（P-002）</t>
    <rPh sb="5" eb="7">
      <t>シンドウ</t>
    </rPh>
    <phoneticPr fontId="6"/>
  </si>
  <si>
    <t>Name</t>
    <phoneticPr fontId="6"/>
  </si>
  <si>
    <t>00-0000TPX</t>
    <phoneticPr fontId="6"/>
  </si>
  <si>
    <t>white</t>
    <phoneticPr fontId="6"/>
  </si>
  <si>
    <t>black</t>
    <phoneticPr fontId="6"/>
  </si>
  <si>
    <t>ネイビーブルー</t>
    <phoneticPr fontId="6"/>
  </si>
  <si>
    <t>19-3920TCX</t>
    <phoneticPr fontId="6"/>
  </si>
  <si>
    <t>Peacoat</t>
    <phoneticPr fontId="6"/>
  </si>
  <si>
    <t>サンセットレッド</t>
  </si>
  <si>
    <t>18-1662TCX</t>
    <phoneticPr fontId="6"/>
  </si>
  <si>
    <t>Flame Scarlet</t>
    <phoneticPr fontId="6"/>
  </si>
  <si>
    <t>アイスグレー</t>
    <phoneticPr fontId="6"/>
  </si>
  <si>
    <t>14-4102TCX</t>
    <phoneticPr fontId="6"/>
  </si>
  <si>
    <t>Glacier Gray</t>
    <phoneticPr fontId="6"/>
  </si>
  <si>
    <t>ブラストブルー</t>
    <phoneticPr fontId="6"/>
  </si>
  <si>
    <t>19-4053TCX</t>
    <phoneticPr fontId="6"/>
  </si>
  <si>
    <t>Turkish Sea</t>
    <phoneticPr fontId="6"/>
  </si>
  <si>
    <t>ディープシー</t>
  </si>
  <si>
    <t>18-4525TCX</t>
    <phoneticPr fontId="6"/>
  </si>
  <si>
    <t>Caribbean Sea</t>
    <phoneticPr fontId="6"/>
  </si>
  <si>
    <t>028</t>
  </si>
  <si>
    <t>バイオレット</t>
    <phoneticPr fontId="6"/>
  </si>
  <si>
    <t>18-3943TCX</t>
    <phoneticPr fontId="6"/>
  </si>
  <si>
    <t>Blue Iris</t>
    <phoneticPr fontId="6"/>
  </si>
  <si>
    <t>スモークミント</t>
    <phoneticPr fontId="6"/>
  </si>
  <si>
    <t>16-4408TCX</t>
    <phoneticPr fontId="6"/>
  </si>
  <si>
    <t>Slate</t>
    <phoneticPr fontId="6"/>
  </si>
  <si>
    <t>クリアーレッド</t>
    <phoneticPr fontId="6"/>
  </si>
  <si>
    <t>17-1663TCX</t>
    <phoneticPr fontId="6"/>
  </si>
  <si>
    <t>Bittersweet</t>
  </si>
  <si>
    <t>シトラスオレンジ</t>
    <phoneticPr fontId="6"/>
  </si>
  <si>
    <t>14-0955TCX</t>
    <phoneticPr fontId="6"/>
  </si>
  <si>
    <t>Citrus</t>
    <phoneticPr fontId="6"/>
  </si>
  <si>
    <t>オレンジブラウン</t>
    <phoneticPr fontId="6"/>
  </si>
  <si>
    <t>18-1536TCX</t>
    <phoneticPr fontId="6"/>
  </si>
  <si>
    <t>Hot Sauce</t>
    <phoneticPr fontId="6"/>
  </si>
  <si>
    <t>パステルグリーン</t>
    <phoneticPr fontId="6"/>
  </si>
  <si>
    <t>12-0225TCX</t>
    <phoneticPr fontId="6"/>
  </si>
  <si>
    <t>Patina Green</t>
    <phoneticPr fontId="6"/>
  </si>
  <si>
    <t>パステルピンク</t>
    <phoneticPr fontId="6"/>
  </si>
  <si>
    <t>15-2214TCX</t>
    <phoneticPr fontId="6"/>
  </si>
  <si>
    <t>Rosebloom</t>
  </si>
  <si>
    <t>チョコレート</t>
    <phoneticPr fontId="6"/>
  </si>
  <si>
    <t>19-3903TCX</t>
    <phoneticPr fontId="6"/>
  </si>
  <si>
    <t>Shale</t>
  </si>
  <si>
    <t>サファイヤネイビー</t>
    <phoneticPr fontId="6"/>
  </si>
  <si>
    <t>19-3943TCX</t>
    <phoneticPr fontId="6"/>
  </si>
  <si>
    <t>Bellwether Blue</t>
  </si>
  <si>
    <t>ダークネイビー</t>
    <phoneticPr fontId="6"/>
  </si>
  <si>
    <t>19-4111TCX</t>
    <phoneticPr fontId="6"/>
  </si>
  <si>
    <t>Pageant Blue</t>
  </si>
  <si>
    <t>レンガ</t>
    <phoneticPr fontId="6"/>
  </si>
  <si>
    <t>18-1137TCX</t>
    <phoneticPr fontId="6"/>
  </si>
  <si>
    <t>Rawhide</t>
  </si>
  <si>
    <t>ディープパープル</t>
    <phoneticPr fontId="6"/>
  </si>
  <si>
    <t>19-3617TCX</t>
    <phoneticPr fontId="6"/>
  </si>
  <si>
    <t>Mysterioso</t>
  </si>
  <si>
    <t>ボルドー</t>
    <phoneticPr fontId="6"/>
  </si>
  <si>
    <t>19-1327TCX</t>
    <phoneticPr fontId="6"/>
  </si>
  <si>
    <t>Andorra</t>
  </si>
  <si>
    <t>マリンブルー</t>
    <phoneticPr fontId="6"/>
  </si>
  <si>
    <t>18-4032TCX</t>
    <phoneticPr fontId="6"/>
  </si>
  <si>
    <t>Deep Water</t>
    <phoneticPr fontId="6"/>
  </si>
  <si>
    <t>シャイングリーン</t>
  </si>
  <si>
    <t>13-0340TN</t>
  </si>
  <si>
    <t>Green Gecko</t>
  </si>
  <si>
    <t>アシッドイエロー</t>
  </si>
  <si>
    <t>13-0630TN</t>
  </si>
  <si>
    <t>Safety Yellow</t>
  </si>
  <si>
    <t>ネオンピンク</t>
  </si>
  <si>
    <t>17-2435TN</t>
  </si>
  <si>
    <t>Pink Glo</t>
  </si>
  <si>
    <t>ネオンオレンジ</t>
  </si>
  <si>
    <t>15-1456TN</t>
  </si>
  <si>
    <t>Fiery Coral</t>
  </si>
  <si>
    <t>キャメル</t>
  </si>
  <si>
    <t>16-1126TCX</t>
    <phoneticPr fontId="6"/>
  </si>
  <si>
    <t>Antelope</t>
    <phoneticPr fontId="6"/>
  </si>
  <si>
    <t>ダークオリーブ</t>
  </si>
  <si>
    <t>19-0415TCX</t>
  </si>
  <si>
    <t>Duffel Bag</t>
    <phoneticPr fontId="6"/>
  </si>
  <si>
    <t>ローズピンク</t>
    <phoneticPr fontId="6"/>
  </si>
  <si>
    <t>18-2143TCX</t>
    <phoneticPr fontId="6"/>
  </si>
  <si>
    <t>Beetroot Purple</t>
    <phoneticPr fontId="6"/>
  </si>
  <si>
    <t>ダークガン</t>
    <phoneticPr fontId="6"/>
  </si>
  <si>
    <t>19-4023TCX</t>
    <phoneticPr fontId="6"/>
  </si>
  <si>
    <t>Blue Nights</t>
    <phoneticPr fontId="6"/>
  </si>
  <si>
    <t>グレー</t>
  </si>
  <si>
    <t>17-1502TCX</t>
  </si>
  <si>
    <t>Cloudburst</t>
  </si>
  <si>
    <t>コッパー</t>
    <phoneticPr fontId="6"/>
  </si>
  <si>
    <t>16-1325TCX</t>
    <phoneticPr fontId="6"/>
  </si>
  <si>
    <t>Copper</t>
    <phoneticPr fontId="6"/>
  </si>
  <si>
    <t>001</t>
  </si>
  <si>
    <t>000</t>
    <phoneticPr fontId="3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</si>
  <si>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</si>
  <si>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</si>
  <si>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</si>
  <si>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</si>
  <si>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</si>
  <si>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</si>
  <si>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</si>
  <si>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</si>
  <si>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</si>
  <si>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</si>
  <si>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</si>
  <si>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</si>
  <si>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</si>
  <si>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</si>
  <si>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</si>
  <si>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</si>
  <si>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</si>
  <si>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</si>
  <si>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</si>
  <si>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</si>
  <si>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</si>
  <si>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</si>
  <si>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</si>
  <si>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</si>
  <si>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</si>
  <si>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</si>
  <si>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BLACK</t>
    <phoneticPr fontId="3"/>
  </si>
  <si>
    <t>code</t>
    <phoneticPr fontId="3"/>
  </si>
  <si>
    <t>WH</t>
    <phoneticPr fontId="3"/>
  </si>
  <si>
    <t>BK</t>
    <phoneticPr fontId="3"/>
  </si>
  <si>
    <t>COLOR_CODE</t>
    <phoneticPr fontId="3"/>
  </si>
  <si>
    <t>ITEM_NAME</t>
    <phoneticPr fontId="3"/>
  </si>
  <si>
    <t>BWSS01_001</t>
    <phoneticPr fontId="3"/>
  </si>
  <si>
    <t>BWSS01_002</t>
    <phoneticPr fontId="3"/>
  </si>
  <si>
    <t>BWFW01_003</t>
  </si>
  <si>
    <t>BWFW01_003</t>
    <phoneticPr fontId="3"/>
  </si>
  <si>
    <t>RETAIL PRICE(JPY)</t>
    <phoneticPr fontId="3"/>
  </si>
  <si>
    <t>WHSL PRICE(JPY)</t>
    <phoneticPr fontId="3"/>
  </si>
  <si>
    <t>プリント代</t>
    <phoneticPr fontId="3"/>
  </si>
  <si>
    <t>プリント代（小）</t>
    <rPh sb="6" eb="7">
      <t xml:space="preserve">ショウ </t>
    </rPh>
    <phoneticPr fontId="3"/>
  </si>
  <si>
    <t>プリント（大）</t>
    <rPh sb="5" eb="6">
      <t xml:space="preserve">ダイ </t>
    </rPh>
    <phoneticPr fontId="3"/>
  </si>
  <si>
    <t>サイズ</t>
    <phoneticPr fontId="3"/>
  </si>
  <si>
    <t>価格</t>
    <rPh sb="0" eb="2">
      <t xml:space="preserve">カカク </t>
    </rPh>
    <phoneticPr fontId="3"/>
  </si>
  <si>
    <t>S~XL</t>
  </si>
  <si>
    <t>XXL</t>
  </si>
  <si>
    <t>5001ー05</t>
    <phoneticPr fontId="3"/>
  </si>
  <si>
    <t>1100ー01</t>
    <phoneticPr fontId="3"/>
  </si>
  <si>
    <t>カラー（ブラック）</t>
    <phoneticPr fontId="3"/>
  </si>
  <si>
    <t>アイテム</t>
    <phoneticPr fontId="3"/>
  </si>
  <si>
    <t>Tシャツ</t>
    <phoneticPr fontId="3"/>
  </si>
  <si>
    <t>パーカ</t>
    <phoneticPr fontId="3"/>
  </si>
  <si>
    <t>ボディ品番</t>
    <rPh sb="3" eb="5">
      <t xml:space="preserve">ヒンバン </t>
    </rPh>
    <phoneticPr fontId="3"/>
  </si>
  <si>
    <t>スタイルナンバー</t>
    <phoneticPr fontId="3"/>
  </si>
  <si>
    <t>ネーム代</t>
    <phoneticPr fontId="3"/>
  </si>
  <si>
    <t>枚数</t>
    <rPh sb="0" eb="2">
      <t xml:space="preserve">マイスウ </t>
    </rPh>
    <phoneticPr fontId="3"/>
  </si>
  <si>
    <t>BWプリント</t>
    <phoneticPr fontId="3"/>
  </si>
  <si>
    <t>コスト</t>
    <phoneticPr fontId="3"/>
  </si>
  <si>
    <t>ワンポイント刺繍ロゴ</t>
    <rPh sb="6" eb="8">
      <t xml:space="preserve">シシュウロゴ </t>
    </rPh>
    <phoneticPr fontId="3"/>
  </si>
  <si>
    <t>二次加工名</t>
    <rPh sb="0" eb="4">
      <t>life</t>
    </rPh>
    <rPh sb="4" eb="5">
      <t xml:space="preserve">メイ </t>
    </rPh>
    <phoneticPr fontId="3"/>
  </si>
  <si>
    <t>アプリケーション名</t>
    <rPh sb="8" eb="9">
      <t xml:space="preserve">メイ </t>
    </rPh>
    <phoneticPr fontId="3"/>
  </si>
  <si>
    <t>下げ札</t>
    <rPh sb="0" eb="1">
      <t xml:space="preserve">サゲフダ </t>
    </rPh>
    <phoneticPr fontId="3"/>
  </si>
  <si>
    <t>ブランドネーム</t>
    <phoneticPr fontId="3"/>
  </si>
  <si>
    <t>ブランドタグ</t>
    <phoneticPr fontId="3"/>
  </si>
  <si>
    <t>アプリケーション代</t>
    <phoneticPr fontId="3"/>
  </si>
  <si>
    <t>二次加工代</t>
    <rPh sb="0" eb="5">
      <t xml:space="preserve">ニジカコウダイ </t>
    </rPh>
    <phoneticPr fontId="3"/>
  </si>
  <si>
    <t>コスト計算</t>
    <phoneticPr fontId="3"/>
  </si>
  <si>
    <t>原価率</t>
    <rPh sb="0" eb="3">
      <t xml:space="preserve">ゲンカリツ </t>
    </rPh>
    <phoneticPr fontId="3"/>
  </si>
  <si>
    <t>上代（税抜）</t>
    <rPh sb="0" eb="2">
      <t xml:space="preserve">ジョウダイ </t>
    </rPh>
    <rPh sb="3" eb="5">
      <t xml:space="preserve">ゼイヌキ </t>
    </rPh>
    <phoneticPr fontId="3"/>
  </si>
  <si>
    <t>備考</t>
  </si>
  <si>
    <t>担当者</t>
  </si>
  <si>
    <t>対象商品/カテゴリ</t>
  </si>
  <si>
    <t>イベント/アクション</t>
  </si>
  <si>
    <t>日付</t>
  </si>
  <si>
    <t>4W</t>
    <phoneticPr fontId="13"/>
  </si>
  <si>
    <t>3W</t>
    <phoneticPr fontId="13"/>
  </si>
  <si>
    <t>2W</t>
    <phoneticPr fontId="13"/>
  </si>
  <si>
    <t>１W</t>
    <phoneticPr fontId="13"/>
  </si>
  <si>
    <t>週（W）</t>
    <rPh sb="0" eb="1">
      <t xml:space="preserve">シュウ </t>
    </rPh>
    <phoneticPr fontId="13"/>
  </si>
  <si>
    <t>年月</t>
    <rPh sb="0" eb="2">
      <t xml:space="preserve">ネンツキ </t>
    </rPh>
    <phoneticPr fontId="13"/>
  </si>
  <si>
    <t>26SS</t>
    <phoneticPr fontId="13"/>
  </si>
  <si>
    <t>25FW</t>
    <phoneticPr fontId="13"/>
  </si>
  <si>
    <t>シーズン</t>
    <phoneticPr fontId="13"/>
  </si>
  <si>
    <t>年度</t>
    <rPh sb="0" eb="2">
      <t xml:space="preserve">ネンド </t>
    </rPh>
    <phoneticPr fontId="13"/>
  </si>
  <si>
    <t>DROP_Timeline</t>
    <phoneticPr fontId="13"/>
  </si>
  <si>
    <t>区分</t>
    <rPh sb="0" eb="2">
      <t xml:space="preserve">クブン </t>
    </rPh>
    <phoneticPr fontId="3"/>
  </si>
  <si>
    <t>D1</t>
    <phoneticPr fontId="3"/>
  </si>
  <si>
    <t>D2</t>
    <phoneticPr fontId="3"/>
  </si>
  <si>
    <t>D3</t>
    <phoneticPr fontId="3"/>
  </si>
  <si>
    <t>D4</t>
    <phoneticPr fontId="3"/>
  </si>
  <si>
    <t>26FW</t>
    <phoneticPr fontId="3"/>
  </si>
  <si>
    <t>定番企画
コラボ企画</t>
    <rPh sb="0" eb="3">
      <t xml:space="preserve">キカク </t>
    </rPh>
    <phoneticPr fontId="13"/>
  </si>
  <si>
    <t>プレスリリース配信
SNSでティーザー投稿
SNS広告
LP作成</t>
    <rPh sb="7" eb="9">
      <t xml:space="preserve">ハイシン </t>
    </rPh>
    <phoneticPr fontId="13"/>
  </si>
  <si>
    <t>ターゲット</t>
  </si>
  <si>
    <t>シーズン名称</t>
  </si>
  <si>
    <t>内容</t>
  </si>
  <si>
    <t>項目</t>
  </si>
  <si>
    <t>S, M, L</t>
  </si>
  <si>
    <t>在庫数</t>
  </si>
  <si>
    <t>原価</t>
  </si>
  <si>
    <t>定価</t>
  </si>
  <si>
    <t>サイズ展開</t>
  </si>
  <si>
    <t>カテゴリ</t>
  </si>
  <si>
    <t>商品名</t>
  </si>
  <si>
    <t>粗利率</t>
  </si>
  <si>
    <t>粗利</t>
  </si>
  <si>
    <t>売上予測</t>
  </si>
  <si>
    <t>20%</t>
  </si>
  <si>
    <t>18.75%</t>
  </si>
  <si>
    <t>32.5%</t>
  </si>
  <si>
    <t>31.25%</t>
  </si>
  <si>
    <t>47.5%</t>
  </si>
  <si>
    <t>50%</t>
  </si>
  <si>
    <t>実績比率</t>
  </si>
  <si>
    <t>目標比率</t>
  </si>
  <si>
    <t>実際アイテム数</t>
  </si>
  <si>
    <t>予定アイテム数</t>
  </si>
  <si>
    <t>カラーナンバー</t>
    <phoneticPr fontId="6"/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</si>
  <si>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</si>
  <si>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</si>
  <si>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</si>
  <si>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</si>
  <si>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</si>
  <si>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</si>
  <si>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</si>
  <si>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</si>
  <si>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</si>
  <si>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</si>
  <si>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</si>
  <si>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NV</t>
    <phoneticPr fontId="3"/>
  </si>
  <si>
    <t>RD</t>
    <phoneticPr fontId="3"/>
  </si>
  <si>
    <t>IG</t>
    <phoneticPr fontId="3"/>
  </si>
  <si>
    <t>消化率</t>
    <rPh sb="0" eb="3">
      <t xml:space="preserve">ショウカリツ </t>
    </rPh>
    <phoneticPr fontId="3"/>
  </si>
  <si>
    <t>割引率</t>
    <rPh sb="0" eb="3">
      <t xml:space="preserve">ワリビキリツ </t>
    </rPh>
    <phoneticPr fontId="3"/>
  </si>
  <si>
    <t>粗利（万円）</t>
    <rPh sb="0" eb="2">
      <t xml:space="preserve">アラリ </t>
    </rPh>
    <rPh sb="3" eb="5">
      <t xml:space="preserve">マンエン </t>
    </rPh>
    <phoneticPr fontId="3"/>
  </si>
  <si>
    <t>25FW</t>
    <phoneticPr fontId="3"/>
  </si>
  <si>
    <t>粗利率</t>
    <rPh sb="0" eb="3">
      <t xml:space="preserve">アラリリツ </t>
    </rPh>
    <phoneticPr fontId="3"/>
  </si>
  <si>
    <t>ROAS（広告費回収率)</t>
    <rPh sb="5" eb="11">
      <t xml:space="preserve">コウコクヒカイシュウリツ </t>
    </rPh>
    <phoneticPr fontId="3"/>
  </si>
  <si>
    <t>広告費</t>
    <rPh sb="0" eb="3">
      <t xml:space="preserve">コウコクヒ </t>
    </rPh>
    <phoneticPr fontId="3"/>
  </si>
  <si>
    <t>成長率</t>
    <rPh sb="0" eb="3">
      <t xml:space="preserve">セイチョウリツ </t>
    </rPh>
    <phoneticPr fontId="3"/>
  </si>
  <si>
    <t>27SS・27FW</t>
    <phoneticPr fontId="3"/>
  </si>
  <si>
    <t>シーズンテーマ</t>
    <phoneticPr fontId="3"/>
  </si>
  <si>
    <t>目標</t>
    <rPh sb="0" eb="2">
      <t xml:space="preserve">モクヒョウ </t>
    </rPh>
    <phoneticPr fontId="3"/>
  </si>
  <si>
    <t>28SS・28FW</t>
    <phoneticPr fontId="3"/>
  </si>
  <si>
    <t>26SS・26FW</t>
    <phoneticPr fontId="3"/>
  </si>
  <si>
    <t>期間</t>
    <rPh sb="0" eb="2">
      <t xml:space="preserve">キカン </t>
    </rPh>
    <phoneticPr fontId="3"/>
  </si>
  <si>
    <t>2025/8-2026/2</t>
    <phoneticPr fontId="3"/>
  </si>
  <si>
    <t>2026/2-2027/2</t>
    <phoneticPr fontId="3"/>
  </si>
  <si>
    <t>2027/2-2028/2</t>
    <phoneticPr fontId="3"/>
  </si>
  <si>
    <t>2028/2-2029/2</t>
    <phoneticPr fontId="3"/>
  </si>
  <si>
    <t>生産枚数</t>
    <rPh sb="0" eb="4">
      <t xml:space="preserve">セイサンマイスウ </t>
    </rPh>
    <phoneticPr fontId="3"/>
  </si>
  <si>
    <t>DEL</t>
    <phoneticPr fontId="3"/>
  </si>
  <si>
    <t>Seasonal Action</t>
    <phoneticPr fontId="3"/>
  </si>
  <si>
    <t>fashion</t>
    <phoneticPr fontId="3"/>
  </si>
  <si>
    <t>sports</t>
    <phoneticPr fontId="3"/>
  </si>
  <si>
    <t>leisure</t>
    <phoneticPr fontId="3"/>
  </si>
  <si>
    <t>秋ファッション</t>
    <rPh sb="0" eb="1">
      <t xml:space="preserve">アキグチ </t>
    </rPh>
    <phoneticPr fontId="3"/>
  </si>
  <si>
    <t>冬ファッション</t>
    <rPh sb="0" eb="1">
      <t xml:space="preserve">フユファッション </t>
    </rPh>
    <phoneticPr fontId="3"/>
  </si>
  <si>
    <t>春ファッション</t>
    <rPh sb="0" eb="1">
      <t xml:space="preserve">ハルファッション </t>
    </rPh>
    <phoneticPr fontId="3"/>
  </si>
  <si>
    <t>夏ファッション</t>
    <rPh sb="0" eb="1">
      <t xml:space="preserve">ナツファッション </t>
    </rPh>
    <phoneticPr fontId="3"/>
  </si>
  <si>
    <t>秋ファッション</t>
    <rPh sb="0" eb="1">
      <t xml:space="preserve">アキファッション </t>
    </rPh>
    <phoneticPr fontId="3"/>
  </si>
  <si>
    <t>防寒アイテム</t>
    <rPh sb="0" eb="2">
      <t xml:space="preserve">ボウカンギ </t>
    </rPh>
    <phoneticPr fontId="3"/>
  </si>
  <si>
    <t>日焼け・日差し</t>
    <rPh sb="0" eb="2">
      <t xml:space="preserve">ヒヤケ </t>
    </rPh>
    <rPh sb="4" eb="6">
      <t xml:space="preserve">ヒザシ </t>
    </rPh>
    <phoneticPr fontId="3"/>
  </si>
  <si>
    <t>梅雨</t>
    <rPh sb="0" eb="2">
      <t xml:space="preserve">ツユ </t>
    </rPh>
    <phoneticPr fontId="3"/>
  </si>
  <si>
    <t>暑さ対策</t>
    <rPh sb="0" eb="1">
      <t xml:space="preserve">アツサタイサク </t>
    </rPh>
    <phoneticPr fontId="3"/>
  </si>
  <si>
    <t>お正月</t>
    <phoneticPr fontId="3"/>
  </si>
  <si>
    <t>成人式</t>
    <rPh sb="0" eb="3">
      <t xml:space="preserve">セイジンシキ </t>
    </rPh>
    <phoneticPr fontId="3"/>
  </si>
  <si>
    <t>節分</t>
    <rPh sb="0" eb="2">
      <t xml:space="preserve">セツブン </t>
    </rPh>
    <phoneticPr fontId="3"/>
  </si>
  <si>
    <t>バレンタイン</t>
    <phoneticPr fontId="3"/>
  </si>
  <si>
    <t>ひな祭り</t>
    <phoneticPr fontId="3"/>
  </si>
  <si>
    <t>卒業</t>
    <rPh sb="0" eb="2">
      <t xml:space="preserve">ソツギョウ </t>
    </rPh>
    <phoneticPr fontId="3"/>
  </si>
  <si>
    <t>入学・入園</t>
    <rPh sb="0" eb="2">
      <t xml:space="preserve">ニュウガク </t>
    </rPh>
    <rPh sb="3" eb="5">
      <t xml:space="preserve">ニュウエン </t>
    </rPh>
    <phoneticPr fontId="3"/>
  </si>
  <si>
    <t>イースター</t>
    <phoneticPr fontId="3"/>
  </si>
  <si>
    <t>GW</t>
    <phoneticPr fontId="3"/>
  </si>
  <si>
    <t>こどもの日</t>
    <phoneticPr fontId="3"/>
  </si>
  <si>
    <t>母の日</t>
    <rPh sb="0" eb="1">
      <t xml:space="preserve">ハハノヒ </t>
    </rPh>
    <phoneticPr fontId="3"/>
  </si>
  <si>
    <t>父の日</t>
    <rPh sb="0" eb="1">
      <t xml:space="preserve">チチノヒ </t>
    </rPh>
    <phoneticPr fontId="3"/>
  </si>
  <si>
    <t>七夕</t>
    <rPh sb="0" eb="2">
      <t xml:space="preserve">タナバタ </t>
    </rPh>
    <phoneticPr fontId="3"/>
  </si>
  <si>
    <t>夏休み</t>
    <rPh sb="0" eb="2">
      <t xml:space="preserve">ナツヤスミ </t>
    </rPh>
    <phoneticPr fontId="3"/>
  </si>
  <si>
    <t>敬老の日</t>
    <rPh sb="0" eb="2">
      <t xml:space="preserve">ケイロウノヒ </t>
    </rPh>
    <phoneticPr fontId="3"/>
  </si>
  <si>
    <t>月見</t>
    <rPh sb="0" eb="2">
      <t xml:space="preserve">ツキミ </t>
    </rPh>
    <phoneticPr fontId="3"/>
  </si>
  <si>
    <t>シルバーウィーク</t>
    <phoneticPr fontId="3"/>
  </si>
  <si>
    <t>ハロウィーン</t>
    <phoneticPr fontId="3"/>
  </si>
  <si>
    <t>七五三</t>
    <rPh sb="0" eb="3">
      <t xml:space="preserve">シチゴサン </t>
    </rPh>
    <phoneticPr fontId="3"/>
  </si>
  <si>
    <t>運動会</t>
    <rPh sb="0" eb="3">
      <t xml:space="preserve">ウンドウカイ </t>
    </rPh>
    <phoneticPr fontId="3"/>
  </si>
  <si>
    <t>クリスマス</t>
    <phoneticPr fontId="3"/>
  </si>
  <si>
    <t>Life event</t>
    <phoneticPr fontId="3"/>
  </si>
  <si>
    <t>Fes</t>
    <phoneticPr fontId="3"/>
  </si>
  <si>
    <t>R.I.P legend</t>
    <phoneticPr fontId="3"/>
  </si>
  <si>
    <t>Birthday legend</t>
    <phoneticPr fontId="3"/>
  </si>
  <si>
    <t>Ultra Music Festival（マイアミ 🇺🇸）</t>
  </si>
  <si>
    <t>Coachella Valley Music &amp; Arts Festival（カリフォルニア 🇺🇸）</t>
  </si>
  <si>
    <t>Primavera Sound Barcelona（バルセロナ 🇪🇸）</t>
  </si>
  <si>
    <t>Glastonbury Festival（ピルトン 🇬🇧）</t>
  </si>
  <si>
    <t>Montreux Jazz Festival（モントルー 🇨🇭）</t>
  </si>
  <si>
    <t>Tomorrowland（ブーム 🇧🇪）</t>
  </si>
  <si>
    <t>Fuji Rock Festival（新潟 🇯🇵）</t>
  </si>
  <si>
    <t>Lollapalooza Chicago（シカゴ 🇺🇸）</t>
  </si>
  <si>
    <t>Sziget Festival（ブダペスト 🇭🇺）</t>
  </si>
  <si>
    <t>Summer Sonic（東京・大阪 🇯🇵）</t>
  </si>
  <si>
    <t>Austin City Limits (ACL)（オースティン 🇺🇸）</t>
  </si>
  <si>
    <t>Clockenflap（香港 🇭🇰）</t>
  </si>
  <si>
    <t>初売り・福袋</t>
    <rPh sb="0" eb="2">
      <t xml:space="preserve">ハツウリ </t>
    </rPh>
    <rPh sb="4" eb="6">
      <t xml:space="preserve">フクブクロ </t>
    </rPh>
    <phoneticPr fontId="3"/>
  </si>
  <si>
    <t>ホワイトデー</t>
    <phoneticPr fontId="3"/>
  </si>
  <si>
    <t>春の新生活フェア</t>
    <rPh sb="0" eb="1">
      <t xml:space="preserve">ハルノシンセイカツフェア </t>
    </rPh>
    <phoneticPr fontId="3"/>
  </si>
  <si>
    <t>GWスペシャルSALE</t>
    <phoneticPr fontId="3"/>
  </si>
  <si>
    <t>梅雨対策・クールビズ</t>
    <rPh sb="0" eb="4">
      <t xml:space="preserve">ツユタイサク </t>
    </rPh>
    <phoneticPr fontId="3"/>
  </si>
  <si>
    <t>SUMMER SALE</t>
    <phoneticPr fontId="3"/>
  </si>
  <si>
    <t>プレフォール</t>
    <phoneticPr fontId="3"/>
  </si>
  <si>
    <t>ハロウィーンコレクション</t>
    <phoneticPr fontId="3"/>
  </si>
  <si>
    <t>独身の日</t>
    <rPh sb="0" eb="2">
      <t xml:space="preserve">ドクシンノヒ </t>
    </rPh>
    <phoneticPr fontId="3"/>
  </si>
  <si>
    <t>ブラックフライデー</t>
    <phoneticPr fontId="3"/>
  </si>
  <si>
    <t>クリスマスギフト商戦</t>
    <phoneticPr fontId="3"/>
  </si>
  <si>
    <t>グッズ関係</t>
    <rPh sb="3" eb="5">
      <t xml:space="preserve">カンケイ </t>
    </rPh>
    <phoneticPr fontId="3"/>
  </si>
  <si>
    <t>羽織もの・セーター</t>
    <rPh sb="0" eb="2">
      <t xml:space="preserve">ハオリモノ </t>
    </rPh>
    <phoneticPr fontId="3"/>
  </si>
  <si>
    <t>Sales・その他</t>
    <phoneticPr fontId="3"/>
  </si>
  <si>
    <t>カテゴリ</t>
    <phoneticPr fontId="3"/>
  </si>
  <si>
    <t>アイテム名</t>
    <phoneticPr fontId="3"/>
  </si>
  <si>
    <t>消化率予測</t>
    <rPh sb="0" eb="3">
      <t xml:space="preserve">ショウカリツ </t>
    </rPh>
    <rPh sb="3" eb="5">
      <t xml:space="preserve">ヨソク </t>
    </rPh>
    <phoneticPr fontId="3"/>
  </si>
  <si>
    <t>目標売上</t>
    <rPh sb="0" eb="2">
      <t xml:space="preserve">モクヒョウ </t>
    </rPh>
    <rPh sb="2" eb="4">
      <t xml:space="preserve">ウリアゲヨソク </t>
    </rPh>
    <phoneticPr fontId="3"/>
  </si>
  <si>
    <t>製造コスト</t>
    <rPh sb="0" eb="2">
      <t xml:space="preserve">セイゾウコスト </t>
    </rPh>
    <phoneticPr fontId="3"/>
  </si>
  <si>
    <t>広告予算配分</t>
    <rPh sb="0" eb="6">
      <t xml:space="preserve">コウコクヨサンハイブン </t>
    </rPh>
    <phoneticPr fontId="3"/>
  </si>
  <si>
    <t>ROAS</t>
    <phoneticPr fontId="3"/>
  </si>
  <si>
    <t>施策</t>
    <rPh sb="0" eb="2">
      <t xml:space="preserve">シサク </t>
    </rPh>
    <phoneticPr fontId="3"/>
  </si>
  <si>
    <t>合計</t>
    <rPh sb="0" eb="2">
      <t xml:space="preserve">ゴウケイ </t>
    </rPh>
    <phoneticPr fontId="3"/>
  </si>
  <si>
    <t>売り上げ目標</t>
    <rPh sb="0" eb="1">
      <t xml:space="preserve">ウリアゲモクヒョウ </t>
    </rPh>
    <phoneticPr fontId="3"/>
  </si>
  <si>
    <t>内訳</t>
    <rPh sb="0" eb="2">
      <t xml:space="preserve">ウチワケ </t>
    </rPh>
    <phoneticPr fontId="3"/>
  </si>
  <si>
    <t>プレスリリース</t>
    <phoneticPr fontId="3"/>
  </si>
  <si>
    <t>ティザー</t>
    <phoneticPr fontId="3"/>
  </si>
  <si>
    <t>期中</t>
    <rPh sb="0" eb="2">
      <t xml:space="preserve">キチュウ </t>
    </rPh>
    <phoneticPr fontId="3"/>
  </si>
  <si>
    <t>広告</t>
    <rPh sb="0" eb="2">
      <t xml:space="preserve">コウコク </t>
    </rPh>
    <phoneticPr fontId="3"/>
  </si>
  <si>
    <t>FB広告</t>
    <rPh sb="2" eb="4">
      <t xml:space="preserve">コウコク </t>
    </rPh>
    <phoneticPr fontId="3"/>
  </si>
  <si>
    <t>ティザー（10d）</t>
    <phoneticPr fontId="3"/>
  </si>
  <si>
    <t>期中(10d)</t>
    <rPh sb="0" eb="2">
      <t xml:space="preserve">キチュウ </t>
    </rPh>
    <phoneticPr fontId="3"/>
  </si>
  <si>
    <t>Tiktok広告</t>
    <rPh sb="6" eb="8">
      <t xml:space="preserve">コウコク </t>
    </rPh>
    <phoneticPr fontId="3"/>
  </si>
  <si>
    <t>Pinterest</t>
    <phoneticPr fontId="3"/>
  </si>
  <si>
    <t>制作費</t>
    <rPh sb="0" eb="3">
      <t xml:space="preserve">セイサクヒ </t>
    </rPh>
    <phoneticPr fontId="3"/>
  </si>
  <si>
    <t>LP製作</t>
    <phoneticPr fontId="3"/>
  </si>
  <si>
    <t>撮影（物撮り）</t>
    <rPh sb="0" eb="2">
      <t xml:space="preserve">サツエイ </t>
    </rPh>
    <rPh sb="3" eb="5">
      <t xml:space="preserve">ブツドリ </t>
    </rPh>
    <phoneticPr fontId="3"/>
  </si>
  <si>
    <t>撮影（ルック）</t>
    <rPh sb="0" eb="2">
      <t xml:space="preserve">サツエイ </t>
    </rPh>
    <phoneticPr fontId="3"/>
  </si>
  <si>
    <t>SNS運用（IG,TK）</t>
    <phoneticPr fontId="3"/>
  </si>
  <si>
    <t>※A/Bテストします</t>
    <phoneticPr fontId="3"/>
  </si>
  <si>
    <t>※最安です</t>
    <rPh sb="1" eb="3">
      <t xml:space="preserve">サイヤス </t>
    </rPh>
    <phoneticPr fontId="3"/>
  </si>
  <si>
    <t>白ホリ</t>
    <rPh sb="0" eb="1">
      <t xml:space="preserve">シロホリ </t>
    </rPh>
    <phoneticPr fontId="3"/>
  </si>
  <si>
    <t>カメラマン</t>
    <phoneticPr fontId="3"/>
  </si>
  <si>
    <t>スタイリスト</t>
    <phoneticPr fontId="3"/>
  </si>
  <si>
    <t>メイク</t>
    <phoneticPr fontId="3"/>
  </si>
  <si>
    <t>モデル（2人）</t>
    <rPh sb="5" eb="6">
      <t xml:space="preserve">ニン </t>
    </rPh>
    <phoneticPr fontId="3"/>
  </si>
  <si>
    <t>※インクルード</t>
    <phoneticPr fontId="3"/>
  </si>
  <si>
    <t>営業利益</t>
    <rPh sb="0" eb="4">
      <t xml:space="preserve">エイギョウリエキ </t>
    </rPh>
    <phoneticPr fontId="3"/>
  </si>
  <si>
    <t>営業利益率</t>
    <rPh sb="0" eb="5">
      <t xml:space="preserve">エイギョウリエキリツ </t>
    </rPh>
    <phoneticPr fontId="3"/>
  </si>
  <si>
    <t>人件費（工藤）</t>
    <rPh sb="0" eb="3">
      <t xml:space="preserve">ジンケンヒインセンティブ </t>
    </rPh>
    <rPh sb="4" eb="6">
      <t xml:space="preserve">クドウ </t>
    </rPh>
    <phoneticPr fontId="3"/>
  </si>
  <si>
    <t>中長期</t>
    <rPh sb="0" eb="3">
      <t xml:space="preserve">チュウチョウキ </t>
    </rPh>
    <phoneticPr fontId="3"/>
  </si>
  <si>
    <t>なるべく早く単月100万達成</t>
    <rPh sb="4" eb="5">
      <t xml:space="preserve">ハヤク </t>
    </rPh>
    <rPh sb="6" eb="8">
      <t xml:space="preserve">タンゲツ </t>
    </rPh>
    <rPh sb="11" eb="12">
      <t xml:space="preserve">マン </t>
    </rPh>
    <phoneticPr fontId="3"/>
  </si>
  <si>
    <t>バッグ類
・トートバッグ
小物類
・キャップ類
アパレル類
・Tシャツ
・長袖シャツ</t>
    <rPh sb="36" eb="38">
      <t xml:space="preserve">ナガソデ </t>
    </rPh>
    <phoneticPr fontId="3"/>
  </si>
  <si>
    <t>防寒小物
・ネックウォーマー
・保温ソックス
アクセ</t>
    <rPh sb="0" eb="2">
      <t xml:space="preserve">ボウカンメイン </t>
    </rPh>
    <phoneticPr fontId="3"/>
  </si>
  <si>
    <t>デイリー定番企画
・プレフォール、秋口の早出しでグッズ中心。酷暑から秋口まで使えそうなラインナップ。
コラボ企画</t>
    <rPh sb="13" eb="17">
      <t xml:space="preserve">キカク </t>
    </rPh>
    <phoneticPr fontId="13"/>
  </si>
  <si>
    <t>テック定番企画
コラボ企画</t>
    <rPh sb="3" eb="6">
      <t xml:space="preserve">キカク </t>
    </rPh>
    <phoneticPr fontId="13"/>
  </si>
  <si>
    <t>SALE</t>
    <phoneticPr fontId="3"/>
  </si>
  <si>
    <t>楽天スーパーセール</t>
    <rPh sb="0" eb="2">
      <t xml:space="preserve">ラクテンスーパーセール </t>
    </rPh>
    <phoneticPr fontId="3"/>
  </si>
  <si>
    <t>AMAZONプライム感謝祭</t>
    <phoneticPr fontId="3"/>
  </si>
  <si>
    <t>楽天ブラックフライデー</t>
    <rPh sb="0" eb="2">
      <t xml:space="preserve">ラクテンブラックフライデー </t>
    </rPh>
    <phoneticPr fontId="3"/>
  </si>
  <si>
    <t>AMAZONプライムデー</t>
    <phoneticPr fontId="3"/>
  </si>
  <si>
    <t>デイリー企画
コラボ企画</t>
    <rPh sb="4" eb="6">
      <t xml:space="preserve">キカク </t>
    </rPh>
    <phoneticPr fontId="13"/>
  </si>
  <si>
    <t>テック定番企画
・肌寒くなる季節から春先まで長く快適に使える商品群
コラボ企画
・どこかあればスポットで追加投入</t>
    <rPh sb="3" eb="6">
      <t xml:space="preserve">キカク </t>
    </rPh>
    <phoneticPr fontId="13"/>
  </si>
  <si>
    <t>1ヶ月</t>
    <phoneticPr fontId="3"/>
  </si>
  <si>
    <t>２ヶ月</t>
    <phoneticPr fontId="3"/>
  </si>
  <si>
    <t>３ヶ月</t>
    <phoneticPr fontId="3"/>
  </si>
  <si>
    <t>４ヶ月</t>
    <phoneticPr fontId="3"/>
  </si>
  <si>
    <t>５ヶ月</t>
    <phoneticPr fontId="3"/>
  </si>
  <si>
    <t>６ヶ月</t>
    <phoneticPr fontId="3"/>
  </si>
  <si>
    <t>元手資金（万円）</t>
    <rPh sb="0" eb="4">
      <t xml:space="preserve">モトデシキン </t>
    </rPh>
    <rPh sb="5" eb="7">
      <t xml:space="preserve">マンエン </t>
    </rPh>
    <phoneticPr fontId="3"/>
  </si>
  <si>
    <t>期末キャッシュ</t>
    <rPh sb="0" eb="2">
      <t xml:space="preserve">キマツキャッシュ </t>
    </rPh>
    <phoneticPr fontId="3"/>
  </si>
  <si>
    <t>出金</t>
    <rPh sb="0" eb="2">
      <t xml:space="preserve">シュッキン </t>
    </rPh>
    <phoneticPr fontId="3"/>
  </si>
  <si>
    <t>7ヶ月</t>
    <phoneticPr fontId="3"/>
  </si>
  <si>
    <t>8ヶ月</t>
    <phoneticPr fontId="3"/>
  </si>
  <si>
    <t>9ヶ月</t>
    <phoneticPr fontId="3"/>
  </si>
  <si>
    <t>10ヶ月</t>
    <phoneticPr fontId="3"/>
  </si>
  <si>
    <t>11ヶ月</t>
    <phoneticPr fontId="3"/>
  </si>
  <si>
    <t>12ヶ月</t>
    <phoneticPr fontId="3"/>
  </si>
  <si>
    <t>13ヶ月</t>
    <phoneticPr fontId="3"/>
  </si>
  <si>
    <t>14ヶ月</t>
    <phoneticPr fontId="3"/>
  </si>
  <si>
    <t>15ヶ月</t>
    <phoneticPr fontId="3"/>
  </si>
  <si>
    <t>16ヶ月</t>
    <phoneticPr fontId="3"/>
  </si>
  <si>
    <t>17ヶ月</t>
    <phoneticPr fontId="3"/>
  </si>
  <si>
    <t>18ヶ月</t>
    <phoneticPr fontId="3"/>
  </si>
  <si>
    <t>19ヶ月</t>
    <phoneticPr fontId="3"/>
  </si>
  <si>
    <t>26SS</t>
    <phoneticPr fontId="3"/>
  </si>
  <si>
    <t>27SS</t>
    <phoneticPr fontId="3"/>
  </si>
  <si>
    <t>実績予想売上</t>
    <rPh sb="0" eb="4">
      <t xml:space="preserve">ジッセキヨソウ </t>
    </rPh>
    <rPh sb="4" eb="6">
      <t xml:space="preserve">ウリアゲ </t>
    </rPh>
    <phoneticPr fontId="3"/>
  </si>
  <si>
    <t>売上達成率</t>
    <rPh sb="0" eb="2">
      <t xml:space="preserve">ウリアゲ </t>
    </rPh>
    <rPh sb="2" eb="5">
      <t xml:space="preserve">タッセイリツ </t>
    </rPh>
    <phoneticPr fontId="3"/>
  </si>
  <si>
    <t>※キャッシュショートの可能性確認</t>
    <rPh sb="14" eb="16">
      <t xml:space="preserve">カクニン </t>
    </rPh>
    <phoneticPr fontId="3"/>
  </si>
  <si>
    <t>入金（末締め翌月末）</t>
    <rPh sb="0" eb="2">
      <t xml:space="preserve">ニュウキン </t>
    </rPh>
    <rPh sb="3" eb="5">
      <t xml:space="preserve">マツジメヨクゲツマツ </t>
    </rPh>
    <phoneticPr fontId="3"/>
  </si>
  <si>
    <t>0ヶ月</t>
    <phoneticPr fontId="3"/>
  </si>
  <si>
    <t>20ヶ月</t>
    <phoneticPr fontId="3"/>
  </si>
  <si>
    <t>21ヶ月</t>
    <phoneticPr fontId="3"/>
  </si>
  <si>
    <t>22ヶ月</t>
    <phoneticPr fontId="3"/>
  </si>
  <si>
    <t>23ヶ月</t>
    <phoneticPr fontId="3"/>
  </si>
  <si>
    <t>24ヶ月</t>
    <phoneticPr fontId="3"/>
  </si>
  <si>
    <t>在庫販売割引率</t>
    <rPh sb="0" eb="4">
      <t xml:space="preserve">ザイコハンバイ </t>
    </rPh>
    <rPh sb="4" eb="7">
      <t xml:space="preserve">ワリビキリツ </t>
    </rPh>
    <phoneticPr fontId="31"/>
  </si>
  <si>
    <t>在庫処分率</t>
    <rPh sb="0" eb="5">
      <t xml:space="preserve">ザイコショブンリツ </t>
    </rPh>
    <phoneticPr fontId="31"/>
  </si>
  <si>
    <t>在庫処分損失額</t>
  </si>
  <si>
    <t>在庫処分売上</t>
    <phoneticPr fontId="31"/>
  </si>
  <si>
    <t>在庫処分原価</t>
    <rPh sb="0" eb="6">
      <t xml:space="preserve">ザイコショブンゲンカ </t>
    </rPh>
    <phoneticPr fontId="31"/>
  </si>
  <si>
    <t>在庫処分対象額
※適正10-30%</t>
    <phoneticPr fontId="31"/>
  </si>
  <si>
    <t>繰越在庫高</t>
    <rPh sb="0" eb="5">
      <t xml:space="preserve">クリコシザイコダカ </t>
    </rPh>
    <phoneticPr fontId="31"/>
  </si>
  <si>
    <t>月初棚卸資産</t>
  </si>
  <si>
    <t>月末棚卸資産（万円）</t>
    <rPh sb="0" eb="2">
      <t xml:space="preserve">ゲツマツ </t>
    </rPh>
    <rPh sb="2" eb="6">
      <t xml:space="preserve">タナオロシシサン </t>
    </rPh>
    <rPh sb="7" eb="9">
      <t xml:space="preserve">マンエン </t>
    </rPh>
    <phoneticPr fontId="3"/>
  </si>
  <si>
    <t>当月売上原価</t>
    <rPh sb="0" eb="2">
      <t xml:space="preserve">トウゲツ </t>
    </rPh>
    <rPh sb="2" eb="6">
      <t xml:space="preserve">ウリアゲゲンカ </t>
    </rPh>
    <phoneticPr fontId="31"/>
  </si>
  <si>
    <t>当月仕入高（万円）</t>
    <rPh sb="0" eb="2">
      <t xml:space="preserve">トウゲツ </t>
    </rPh>
    <rPh sb="2" eb="5">
      <t xml:space="preserve">シイレダカ </t>
    </rPh>
    <rPh sb="6" eb="8">
      <t xml:space="preserve">マンエン </t>
    </rPh>
    <phoneticPr fontId="3"/>
  </si>
  <si>
    <t>新規売上目標（万円）</t>
    <rPh sb="0" eb="2">
      <t xml:space="preserve">シンキ </t>
    </rPh>
    <rPh sb="7" eb="9">
      <t xml:space="preserve">マンエン </t>
    </rPh>
    <phoneticPr fontId="3"/>
  </si>
  <si>
    <t>合算売上（新規+在庫）</t>
    <rPh sb="0" eb="2">
      <t xml:space="preserve">ガッサン </t>
    </rPh>
    <rPh sb="2" eb="4">
      <t xml:space="preserve">ウリアゲ </t>
    </rPh>
    <rPh sb="5" eb="7">
      <t xml:space="preserve">シンキ </t>
    </rPh>
    <rPh sb="8" eb="10">
      <t xml:space="preserve">ザイコ </t>
    </rPh>
    <phoneticPr fontId="31"/>
  </si>
  <si>
    <t>水色セルの数値を変更する</t>
    <rPh sb="0" eb="2">
      <t xml:space="preserve">ミズイロセル </t>
    </rPh>
    <phoneticPr fontId="31"/>
  </si>
  <si>
    <t>備考</t>
    <rPh sb="0" eb="2">
      <t xml:space="preserve">ビコウ </t>
    </rPh>
    <phoneticPr fontId="31"/>
  </si>
  <si>
    <t>📲Digital Listener Conf.（カジュアル）</t>
  </si>
  <si>
    <t>🎤Artist-Live Conference（カジュアル）</t>
  </si>
  <si>
    <r>
      <rPr>
        <sz val="12"/>
        <color theme="1"/>
        <rFont val="Apple Color Emoji"/>
        <family val="2"/>
      </rPr>
      <t>🎪</t>
    </r>
    <r>
      <rPr>
        <sz val="12"/>
        <color theme="1"/>
        <rFont val="Meiryo UI"/>
        <family val="2"/>
        <charset val="128"/>
      </rPr>
      <t>Festival Conference（カジュアル）</t>
    </r>
    <rPh sb="11" eb="13">
      <t xml:space="preserve">ダンセイ </t>
    </rPh>
    <phoneticPr fontId="3"/>
  </si>
  <si>
    <t>・在庫処分でCF改善</t>
    <rPh sb="1" eb="5">
      <t xml:space="preserve">ザイコショブンデ </t>
    </rPh>
    <phoneticPr fontId="31"/>
  </si>
  <si>
    <t>・売上で利益確保</t>
    <rPh sb="1" eb="3">
      <t xml:space="preserve">ウリアゲデリエキカクホ </t>
    </rPh>
    <phoneticPr fontId="31"/>
  </si>
  <si>
    <t>単月100万達成!!</t>
    <rPh sb="0" eb="2">
      <t xml:space="preserve">タンゲツ１００タッセイ </t>
    </rPh>
    <rPh sb="5" eb="6">
      <t xml:space="preserve">マン </t>
    </rPh>
    <phoneticPr fontId="31"/>
  </si>
  <si>
    <t>・キャッシュショートを避ける</t>
    <phoneticPr fontId="31"/>
  </si>
  <si>
    <t>ターゲット
上代_税抜</t>
    <rPh sb="5" eb="7">
      <t xml:space="preserve">ジョウダイ </t>
    </rPh>
    <rPh sb="9" eb="10">
      <t xml:space="preserve">ゼイヌキ </t>
    </rPh>
    <phoneticPr fontId="3"/>
  </si>
  <si>
    <t>D1&amp;D2</t>
    <phoneticPr fontId="3"/>
  </si>
  <si>
    <t>商品投入月</t>
  </si>
  <si>
    <t>売上配分</t>
  </si>
  <si>
    <t>1ヶ月目</t>
  </si>
  <si>
    <t>2ヶ月目</t>
  </si>
  <si>
    <t>3ヶ月目</t>
  </si>
  <si>
    <t>4ヶ月目</t>
  </si>
  <si>
    <t>5ヶ月目</t>
  </si>
  <si>
    <t>6ヶ月目</t>
  </si>
  <si>
    <t>-</t>
  </si>
  <si>
    <t>売上配分</t>
    <rPh sb="0" eb="4">
      <t xml:space="preserve">ウリアゲハイブン </t>
    </rPh>
    <phoneticPr fontId="3"/>
  </si>
  <si>
    <t>売上目標</t>
    <rPh sb="0" eb="4">
      <t xml:space="preserve">ウリアゲモクヒョウ </t>
    </rPh>
    <phoneticPr fontId="3"/>
  </si>
  <si>
    <t>単月目標（万円）</t>
    <rPh sb="0" eb="4">
      <t xml:space="preserve">タンゲツモクヒョウ </t>
    </rPh>
    <rPh sb="5" eb="7">
      <t xml:space="preserve">マンエン </t>
    </rPh>
    <phoneticPr fontId="3"/>
  </si>
  <si>
    <t>1ヶ月目頭</t>
    <rPh sb="4" eb="5">
      <t xml:space="preserve">アタマ </t>
    </rPh>
    <phoneticPr fontId="3"/>
  </si>
  <si>
    <t>1ヶ月目ケツ</t>
    <phoneticPr fontId="3"/>
  </si>
  <si>
    <t>TOPS</t>
    <phoneticPr fontId="3"/>
  </si>
  <si>
    <t>BOTTOMS</t>
    <phoneticPr fontId="3"/>
  </si>
  <si>
    <t>OUTER</t>
    <phoneticPr fontId="3"/>
  </si>
  <si>
    <t>ACC</t>
    <phoneticPr fontId="3"/>
  </si>
  <si>
    <t>累積目標（万円）</t>
    <rPh sb="0" eb="4">
      <t xml:space="preserve">ルイセキモクヒョウ </t>
    </rPh>
    <rPh sb="5" eb="7">
      <t xml:space="preserve">マンエン </t>
    </rPh>
    <phoneticPr fontId="3"/>
  </si>
  <si>
    <t>27FW</t>
    <phoneticPr fontId="3"/>
  </si>
  <si>
    <t>28SS</t>
    <phoneticPr fontId="3"/>
  </si>
  <si>
    <t>25ヶ月</t>
  </si>
  <si>
    <t>26ヶ月</t>
  </si>
  <si>
    <t>27ヶ月</t>
  </si>
  <si>
    <t>28ヶ月</t>
  </si>
  <si>
    <t>29ヶ月</t>
  </si>
  <si>
    <t>30ヶ月</t>
  </si>
  <si>
    <t>31ヶ月</t>
  </si>
  <si>
    <t>32ヶ月</t>
  </si>
  <si>
    <t>33ヶ月</t>
  </si>
  <si>
    <t>34ヶ月</t>
  </si>
  <si>
    <t>_001</t>
    <phoneticPr fontId="3"/>
  </si>
  <si>
    <t>回数</t>
    <rPh sb="0" eb="2">
      <t xml:space="preserve">カイスウ </t>
    </rPh>
    <phoneticPr fontId="3"/>
  </si>
  <si>
    <t>_002</t>
  </si>
  <si>
    <t>_003</t>
  </si>
  <si>
    <t>BW</t>
    <phoneticPr fontId="3"/>
  </si>
  <si>
    <t>カラー数</t>
    <phoneticPr fontId="3"/>
  </si>
  <si>
    <t>F</t>
    <phoneticPr fontId="3"/>
  </si>
  <si>
    <t>UNITS PER PACK</t>
    <phoneticPr fontId="3"/>
  </si>
  <si>
    <t>YellowGreen</t>
    <phoneticPr fontId="3"/>
  </si>
  <si>
    <t>YG</t>
    <phoneticPr fontId="3"/>
  </si>
  <si>
    <t>Collection Name</t>
    <phoneticPr fontId="3"/>
  </si>
  <si>
    <t>ブランド
コード</t>
    <phoneticPr fontId="3"/>
  </si>
  <si>
    <t>シーズン
コード</t>
    <phoneticPr fontId="3"/>
  </si>
  <si>
    <t>SKU
コード</t>
    <phoneticPr fontId="3"/>
  </si>
  <si>
    <t>HS Tee</t>
  </si>
  <si>
    <t>HS Tee</t>
    <phoneticPr fontId="3"/>
  </si>
  <si>
    <t>P/O Parka</t>
    <phoneticPr fontId="3"/>
  </si>
  <si>
    <t>版代単価</t>
    <rPh sb="0" eb="2">
      <t xml:space="preserve">ハンダイ </t>
    </rPh>
    <rPh sb="2" eb="4">
      <t xml:space="preserve">タンカ </t>
    </rPh>
    <phoneticPr fontId="3"/>
  </si>
  <si>
    <t>SS</t>
    <phoneticPr fontId="3"/>
  </si>
  <si>
    <t>FW</t>
    <phoneticPr fontId="3"/>
  </si>
  <si>
    <t>S, M, L,XL</t>
    <phoneticPr fontId="3"/>
  </si>
  <si>
    <t>XL</t>
    <phoneticPr fontId="3"/>
  </si>
  <si>
    <t>Promotion_Line</t>
    <phoneticPr fontId="3"/>
  </si>
  <si>
    <t>数量</t>
    <rPh sb="0" eb="2">
      <t xml:space="preserve">スウリョウ </t>
    </rPh>
    <phoneticPr fontId="3"/>
  </si>
  <si>
    <t>UNIT</t>
    <phoneticPr fontId="3"/>
  </si>
  <si>
    <t>BWSS1_001</t>
  </si>
  <si>
    <t>BWSS1_002</t>
  </si>
  <si>
    <t>BWFW1_003</t>
  </si>
  <si>
    <t>LS Tee</t>
  </si>
  <si>
    <t>TOPS</t>
  </si>
  <si>
    <t>unit cost
原価</t>
    <phoneticPr fontId="3"/>
  </si>
  <si>
    <t>上代(税抜)</t>
    <rPh sb="0" eb="2">
      <t xml:space="preserve">ジョウダイ </t>
    </rPh>
    <rPh sb="3" eb="5">
      <t xml:space="preserve">ゼイヌキ </t>
    </rPh>
    <phoneticPr fontId="3"/>
  </si>
  <si>
    <t>https://www.gs1jp.org/code/jan/jan_apply.html</t>
  </si>
  <si>
    <t>JANコード申請</t>
    <rPh sb="6" eb="8">
      <t xml:space="preserve">シンセイ </t>
    </rPh>
    <phoneticPr fontId="3"/>
  </si>
  <si>
    <t>各合計数量</t>
    <rPh sb="0" eb="3">
      <t xml:space="preserve">カクゴウケイ </t>
    </rPh>
    <rPh sb="3" eb="5">
      <t xml:space="preserve">スウリョウ </t>
    </rPh>
    <phoneticPr fontId="3"/>
  </si>
  <si>
    <t>STYLE NUMBER</t>
    <phoneticPr fontId="3"/>
  </si>
  <si>
    <t>IMAGE</t>
    <phoneticPr fontId="3"/>
  </si>
  <si>
    <t>【補助金・助成金シミュレーション】</t>
  </si>
  <si>
    <t>【補助金・助成金シミュレーション】</t>
    <phoneticPr fontId="3"/>
  </si>
  <si>
    <t>補助金対象経費合計</t>
  </si>
  <si>
    <t>補助金対象経費合計</t>
    <phoneticPr fontId="3"/>
  </si>
  <si>
    <t>補助率</t>
  </si>
  <si>
    <t>補助率</t>
    <phoneticPr fontId="3"/>
  </si>
  <si>
    <t>補助金交付決定額（翌年入金）</t>
  </si>
  <si>
    <t>補助金交付決定額（翌年入金）</t>
    <phoneticPr fontId="3"/>
  </si>
  <si>
    <t>【収入の部】</t>
  </si>
  <si>
    <t>【収入の部】</t>
    <phoneticPr fontId="3"/>
  </si>
  <si>
    <t>【支出の部】</t>
  </si>
  <si>
    <t>【支出の部】</t>
    <phoneticPr fontId="3"/>
  </si>
  <si>
    <t>【収支・キャッシュ残高】</t>
  </si>
  <si>
    <t>【収支・キャッシュ残高】</t>
    <phoneticPr fontId="3"/>
  </si>
  <si>
    <t>融資</t>
  </si>
  <si>
    <t>融資額</t>
  </si>
  <si>
    <t>融資額</t>
    <rPh sb="0" eb="2">
      <t xml:space="preserve">ユウシ </t>
    </rPh>
    <rPh sb="2" eb="3">
      <t xml:space="preserve">ガク </t>
    </rPh>
    <phoneticPr fontId="3"/>
  </si>
  <si>
    <t>補助金入金</t>
  </si>
  <si>
    <t>補助金入金</t>
    <rPh sb="0" eb="3">
      <t xml:space="preserve">ホジョキン </t>
    </rPh>
    <rPh sb="3" eb="5">
      <t xml:space="preserve">ニュウキン </t>
    </rPh>
    <phoneticPr fontId="3"/>
  </si>
  <si>
    <t>助成金入金</t>
  </si>
  <si>
    <t>助成金入金</t>
    <rPh sb="0" eb="5">
      <t xml:space="preserve">ジョセイキンニュウキン </t>
    </rPh>
    <phoneticPr fontId="3"/>
  </si>
  <si>
    <t>資金調達・外部入金</t>
    <phoneticPr fontId="3"/>
  </si>
  <si>
    <t>売上計画・進捗</t>
    <phoneticPr fontId="3"/>
  </si>
  <si>
    <t>売上・粗利管理</t>
    <phoneticPr fontId="3"/>
  </si>
  <si>
    <t>在庫・原価管理</t>
    <phoneticPr fontId="3"/>
  </si>
  <si>
    <t>在庫処分管理</t>
    <phoneticPr fontId="3"/>
  </si>
  <si>
    <t>利益管理</t>
    <rPh sb="0" eb="4">
      <t xml:space="preserve">リエキカンリ </t>
    </rPh>
    <phoneticPr fontId="3"/>
  </si>
  <si>
    <t>販売促進費</t>
    <rPh sb="0" eb="5">
      <t xml:space="preserve">ハンバイソクシンヒ </t>
    </rPh>
    <phoneticPr fontId="3"/>
  </si>
  <si>
    <t>制作・運営費</t>
    <phoneticPr fontId="3"/>
  </si>
  <si>
    <t>入出金管理</t>
    <rPh sb="0" eb="5">
      <t xml:space="preserve">ニュウシュッキンカンリ </t>
    </rPh>
    <phoneticPr fontId="3"/>
  </si>
  <si>
    <t>キャッシュ管理</t>
    <phoneticPr fontId="3"/>
  </si>
  <si>
    <t>補助金計算</t>
    <rPh sb="0" eb="5">
      <t xml:space="preserve">ホジョキンケイサン </t>
    </rPh>
    <phoneticPr fontId="3"/>
  </si>
  <si>
    <t>[資金調達・外部入金]</t>
  </si>
  <si>
    <t>元手資金（万円）</t>
  </si>
  <si>
    <t>[売上計画・進捗]</t>
  </si>
  <si>
    <t>成長率</t>
  </si>
  <si>
    <t>売上達成率</t>
  </si>
  <si>
    <t>新規売上目標（万円）</t>
  </si>
  <si>
    <t>実績予想売上</t>
  </si>
  <si>
    <t>合算売上（新規+在庫）</t>
  </si>
  <si>
    <t>[売上・利益管理]</t>
  </si>
  <si>
    <t>粗利（万円）</t>
  </si>
  <si>
    <t>原価率</t>
  </si>
  <si>
    <t>[在庫・原価管理]</t>
  </si>
  <si>
    <t>繰越在庫高</t>
  </si>
  <si>
    <t>当月仕入高（万円）</t>
  </si>
  <si>
    <t>当月売上原価</t>
  </si>
  <si>
    <t>月末棚卸資産（万円）</t>
  </si>
  <si>
    <t>消化率</t>
  </si>
  <si>
    <t>[在庫処分管理]</t>
  </si>
  <si>
    <t>在庫処分対象額</t>
  </si>
  <si>
    <t>※適正10〜30%</t>
  </si>
  <si>
    <t>在庫処分原価</t>
  </si>
  <si>
    <t>在庫販売割引率</t>
  </si>
  <si>
    <t>在庫処分売上</t>
  </si>
  <si>
    <t>在庫処分率</t>
  </si>
  <si>
    <t>割引率</t>
  </si>
  <si>
    <t>[設備・初期費用]</t>
  </si>
  <si>
    <t>3Dプリンター追加</t>
  </si>
  <si>
    <t>台数</t>
  </si>
  <si>
    <t>Bambu Lab P2S Combo</t>
  </si>
  <si>
    <t>防振脚座</t>
  </si>
  <si>
    <t>その他備品</t>
  </si>
  <si>
    <t>配送料・搬入費</t>
  </si>
  <si>
    <t>初期セットアップ費</t>
  </si>
  <si>
    <t>事務所初期費用</t>
  </si>
  <si>
    <t>EC構築費（初期）</t>
  </si>
  <si>
    <t>[固定費]</t>
  </si>
  <si>
    <t>事務所賃料</t>
  </si>
  <si>
    <t>契約月数</t>
  </si>
  <si>
    <t>賃料</t>
  </si>
  <si>
    <t>サーバー・クラウド・API</t>
  </si>
  <si>
    <t>ドメイン管理費</t>
  </si>
  <si>
    <t>コンテンツ制作ツール</t>
  </si>
  <si>
    <t>通信費</t>
  </si>
  <si>
    <t>電気代</t>
  </si>
  <si>
    <t>会計・管理ツール費</t>
  </si>
  <si>
    <t>保険料</t>
  </si>
  <si>
    <t>倉庫保管費</t>
  </si>
  <si>
    <t>融資返済（年間）</t>
  </si>
  <si>
    <t>支払利息</t>
  </si>
  <si>
    <t>[制作・開発費]</t>
  </si>
  <si>
    <t>フィギュア制作・材料費</t>
  </si>
  <si>
    <t>制作体数</t>
  </si>
  <si>
    <t>試作費</t>
  </si>
  <si>
    <t>不良・ロス費</t>
  </si>
  <si>
    <t>外注製造費</t>
  </si>
  <si>
    <t>品質管理費</t>
  </si>
  <si>
    <t>梱包資材費</t>
  </si>
  <si>
    <t>アプリ改修・システム費</t>
  </si>
  <si>
    <t>EC運営費（月額）</t>
  </si>
  <si>
    <t>[マーケティング・販促費]</t>
  </si>
  <si>
    <t>SNS広告費</t>
  </si>
  <si>
    <t>月額</t>
  </si>
  <si>
    <t>出稿月数</t>
  </si>
  <si>
    <t>ROAS（広告費回収率）</t>
  </si>
  <si>
    <t>SNS運用外注費</t>
  </si>
  <si>
    <t>運用月額</t>
  </si>
  <si>
    <t>運用月数</t>
  </si>
  <si>
    <t>インフルエンサー依頼費</t>
  </si>
  <si>
    <t>展示会出展費</t>
  </si>
  <si>
    <t>撮影費</t>
  </si>
  <si>
    <t>クリエイティブ制作費</t>
  </si>
  <si>
    <t>LP制作費</t>
  </si>
  <si>
    <t>PR発送費</t>
  </si>
  <si>
    <t>ノベルティ費</t>
  </si>
  <si>
    <t>送料キャンペーン負担</t>
  </si>
  <si>
    <t>コラボ・ライセンス管理費</t>
  </si>
  <si>
    <t>特別販促費</t>
  </si>
  <si>
    <t>[人件費]</t>
  </si>
  <si>
    <t>人件費（工藤）</t>
  </si>
  <si>
    <t>人件費（業務委託・パート）</t>
  </si>
  <si>
    <t>[諸経費]</t>
  </si>
  <si>
    <t>諸経費（交通・材料・専門家）</t>
  </si>
  <si>
    <t>税理士・社労士・弁護士費用</t>
  </si>
  <si>
    <t>振込手数料</t>
  </si>
  <si>
    <t>決済手数料</t>
  </si>
  <si>
    <t>消耗品費</t>
  </si>
  <si>
    <t>[総支出]</t>
  </si>
  <si>
    <t>総支出</t>
  </si>
  <si>
    <t>[利益管理]</t>
  </si>
  <si>
    <t>営業利益</t>
  </si>
  <si>
    <t>営業利益率</t>
  </si>
  <si>
    <t>[入出金管理]</t>
  </si>
  <si>
    <t>入金（末締め翌月末）</t>
  </si>
  <si>
    <t>出金</t>
  </si>
  <si>
    <t>[キャッシュ管理]</t>
  </si>
  <si>
    <t>期末キャッシュ</t>
  </si>
  <si>
    <t>※キャッシュショートの可能性確認</t>
  </si>
  <si>
    <t>[商品計画]</t>
  </si>
  <si>
    <t>商品数目標（点数）</t>
  </si>
  <si>
    <t>[補助金計算]</t>
  </si>
  <si>
    <t>売上原価</t>
  </si>
  <si>
    <t>固定費</t>
  </si>
  <si>
    <t>広告販促費</t>
  </si>
  <si>
    <t>設備投資</t>
  </si>
  <si>
    <t>補助金</t>
  </si>
  <si>
    <t>売上（万円）</t>
    <rPh sb="3" eb="5">
      <t xml:space="preserve">マンエン </t>
    </rPh>
    <phoneticPr fontId="3"/>
  </si>
  <si>
    <t>個数</t>
    <rPh sb="0" eb="2">
      <t xml:space="preserve">コスウ </t>
    </rPh>
    <phoneticPr fontId="3"/>
  </si>
  <si>
    <t>家賃</t>
    <rPh sb="0" eb="2">
      <t xml:space="preserve">ヤチン </t>
    </rPh>
    <phoneticPr fontId="3"/>
  </si>
  <si>
    <t>サーバー</t>
    <phoneticPr fontId="3"/>
  </si>
  <si>
    <t>ツール</t>
    <phoneticPr fontId="3"/>
  </si>
  <si>
    <t>通信費</t>
    <rPh sb="0" eb="3">
      <t xml:space="preserve">ツウシンヒ </t>
    </rPh>
    <phoneticPr fontId="3"/>
  </si>
  <si>
    <t>保険</t>
    <rPh sb="0" eb="2">
      <t xml:space="preserve">ホケン </t>
    </rPh>
    <phoneticPr fontId="3"/>
  </si>
  <si>
    <t>人件費</t>
    <rPh sb="0" eb="3">
      <t xml:space="preserve">ジンケンヒ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</si>
</sst>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);[Red]\(0\)"/>
    <numFmt numFmtId="177" formatCode="_([$USD]\ * #,##0.00_)"/>
    <numFmt numFmtId="178" formatCode="000"/>
    <numFmt numFmtId="179" formatCode="_ [$JPY]\ * #,##0.00_ ;_ [$JPY]\ * \-#,##0.00_ ;_ [$JPY]\ * &quot;-&quot;??_ ;_ @_ "/>
    <numFmt numFmtId="180" formatCode="0.0%"/>
    <numFmt numFmtId="181" formatCode="0.0_);[Red]\(0.0\)"/>
    <numFmt numFmtId="182" formatCode="#,##0.0"/>
    <numFmt numFmtId="183" formatCode="00"/>
  </numFmts>
  <fonts count="33">
    <font>
      <sz val="12"/>
      <color theme="1"/>
      <name val="游ゴシック"/>
      <family val="2"/>
      <charset val="128"/>
      <scheme val="minor"/>
    </font>
    <font>
      <sz val="11"/>
      <color theme="1"/>
      <name val="MeiryoUI"/>
      <family val="2"/>
      <charset val="128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b/>
      <sz val="11"/>
      <color theme="1"/>
      <name val="Meiryo UI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FFFF"/>
      <name val="Meiryo UI"/>
      <family val="2"/>
      <charset val="128"/>
    </font>
    <font>
      <sz val="11"/>
      <color rgb="FF000000"/>
      <name val="Meiryo UI"/>
      <family val="2"/>
      <charset val="128"/>
    </font>
    <font>
      <sz val="13"/>
      <color theme="1"/>
      <name val="Meiryo UI"/>
      <family val="2"/>
      <charset val="128"/>
    </font>
    <font>
      <sz val="11"/>
      <color theme="1"/>
      <name val="游ゴシック"/>
      <family val="2"/>
      <scheme val="minor"/>
    </font>
    <font>
      <sz val="11"/>
      <color theme="1"/>
      <name val="Meiryo UI"/>
      <family val="2"/>
      <charset val="128"/>
    </font>
    <font>
      <sz val="6"/>
      <name val="游ゴシック"/>
      <family val="3"/>
      <charset val="128"/>
      <scheme val="minor"/>
    </font>
    <font>
      <b/>
      <sz val="12"/>
      <color theme="1"/>
      <name val="Meiryo UI"/>
      <family val="2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10"/>
      <name val="Meiryo UI"/>
      <family val="2"/>
      <charset val="128"/>
    </font>
    <font>
      <sz val="12"/>
      <color theme="0"/>
      <name val="Meiryo UI"/>
      <family val="2"/>
      <charset val="128"/>
    </font>
    <font>
      <b/>
      <sz val="12"/>
      <color theme="0"/>
      <name val="Meiryo UI"/>
      <family val="2"/>
      <charset val="128"/>
    </font>
    <font>
      <sz val="12"/>
      <color theme="1"/>
      <name val="Apple Color Emoji"/>
      <family val="2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Meiryo UI"/>
      <family val="2"/>
      <charset val="128"/>
    </font>
    <font>
      <sz val="12"/>
      <color rgb="FF2A2A2A"/>
      <name val="Meiryo UI"/>
      <family val="2"/>
      <charset val="128"/>
    </font>
    <font>
      <sz val="12"/>
      <color rgb="FF333333"/>
      <name val="Meiryo UI"/>
      <family val="2"/>
      <charset val="128"/>
    </font>
    <font>
      <sz val="14"/>
      <color theme="1"/>
      <name val="Meiryo UI"/>
      <family val="2"/>
      <charset val="128"/>
    </font>
    <font>
      <b/>
      <sz val="12"/>
      <color theme="1"/>
      <name val="游ゴシック"/>
      <charset val="128"/>
      <scheme val="minor"/>
    </font>
    <font>
      <b/>
      <sz val="13.5"/>
      <color theme="1"/>
      <name val="游ゴシック"/>
      <charset val="128"/>
      <scheme val="minor"/>
    </font>
    <font>
      <b/>
      <sz val="18"/>
      <color theme="1"/>
      <name val="游ゴシック"/>
      <charset val="128"/>
      <scheme val="minor"/>
    </font>
    <font>
      <i/>
      <sz val="12"/>
      <color theme="1"/>
      <name val="游ゴシック"/>
      <charset val="128"/>
      <scheme val="minor"/>
    </font>
    <font>
      <sz val="12"/>
      <color rgb="FFFF0000"/>
      <name val="Meiryo UI"/>
      <family val="2"/>
      <charset val="128"/>
    </font>
    <font>
      <sz val="6"/>
      <name val="MeiryoUI"/>
      <family val="2"/>
      <charset val="128"/>
    </font>
    <font>
      <sz val="12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</patternFill>
    </fill>
    <fill>
      <patternFill patternType="solid">
        <fgColor rgb="FFFFF2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tted">
        <color indexed="64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dotted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/>
    <xf numFmtId="0" fontId="11" fillId="0" borderId="0"/>
    <xf numFmtId="9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27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177" fontId="8" fillId="2" borderId="5" xfId="0" applyNumberFormat="1" applyFont="1" applyFill="1" applyBorder="1" applyAlignment="1">
      <alignment horizontal="center" vertical="center" wrapText="1"/>
    </xf>
    <xf numFmtId="179" fontId="8" fillId="2" borderId="1" xfId="0" applyNumberFormat="1" applyFont="1" applyFill="1" applyBorder="1" applyAlignment="1" applyProtection="1">
      <alignment horizontal="center" vertical="center"/>
      <protection locked="0"/>
    </xf>
    <xf numFmtId="179" fontId="9" fillId="4" borderId="4" xfId="0" applyNumberFormat="1" applyFont="1" applyFill="1" applyBorder="1" applyAlignment="1">
      <alignment horizontal="center" vertical="center"/>
    </xf>
    <xf numFmtId="177" fontId="8" fillId="2" borderId="1" xfId="0" applyNumberFormat="1" applyFont="1" applyFill="1" applyBorder="1" applyAlignment="1" applyProtection="1">
      <alignment horizontal="center" vertical="center"/>
      <protection locked="0"/>
    </xf>
    <xf numFmtId="177" fontId="9" fillId="4" borderId="4" xfId="0" applyNumberFormat="1" applyFont="1" applyFill="1" applyBorder="1" applyAlignment="1">
      <alignment horizontal="center" vertical="center"/>
    </xf>
    <xf numFmtId="177" fontId="8" fillId="5" borderId="1" xfId="0" applyNumberFormat="1" applyFont="1" applyFill="1" applyBorder="1" applyAlignment="1" applyProtection="1">
      <alignment horizontal="center" vertical="center"/>
      <protection locked="0"/>
    </xf>
    <xf numFmtId="177" fontId="9" fillId="5" borderId="4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4" fillId="0" borderId="2" xfId="0" applyFont="1" applyBorder="1">
      <alignment vertical="center"/>
    </xf>
    <xf numFmtId="0" fontId="10" fillId="0" borderId="2" xfId="0" applyFont="1" applyBorder="1">
      <alignment vertical="center"/>
    </xf>
    <xf numFmtId="3" fontId="4" fillId="0" borderId="2" xfId="0" applyNumberFormat="1" applyFont="1" applyBorder="1">
      <alignment vertical="center"/>
    </xf>
    <xf numFmtId="3" fontId="4" fillId="8" borderId="2" xfId="0" applyNumberFormat="1" applyFont="1" applyFill="1" applyBorder="1">
      <alignment vertical="center"/>
    </xf>
    <xf numFmtId="0" fontId="4" fillId="8" borderId="2" xfId="0" applyFont="1" applyFill="1" applyBorder="1">
      <alignment vertical="center"/>
    </xf>
    <xf numFmtId="0" fontId="4" fillId="9" borderId="2" xfId="0" applyFont="1" applyFill="1" applyBorder="1">
      <alignment vertical="center"/>
    </xf>
    <xf numFmtId="0" fontId="4" fillId="9" borderId="2" xfId="0" applyFont="1" applyFill="1" applyBorder="1" applyAlignment="1">
      <alignment horizontal="right" vertical="center"/>
    </xf>
    <xf numFmtId="9" fontId="4" fillId="0" borderId="2" xfId="0" applyNumberFormat="1" applyFont="1" applyBorder="1">
      <alignment vertical="center"/>
    </xf>
    <xf numFmtId="176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2" fillId="0" borderId="0" xfId="3" applyFont="1"/>
    <xf numFmtId="0" fontId="12" fillId="0" borderId="0" xfId="3" applyFont="1" applyAlignment="1">
      <alignment horizontal="left" vertical="center"/>
    </xf>
    <xf numFmtId="0" fontId="12" fillId="0" borderId="8" xfId="3" applyFont="1" applyBorder="1" applyAlignment="1">
      <alignment horizontal="left" vertical="center"/>
    </xf>
    <xf numFmtId="0" fontId="12" fillId="0" borderId="9" xfId="3" applyFont="1" applyBorder="1" applyAlignment="1">
      <alignment horizontal="left" vertical="center"/>
    </xf>
    <xf numFmtId="0" fontId="12" fillId="0" borderId="10" xfId="3" applyFont="1" applyBorder="1" applyAlignment="1">
      <alignment horizontal="left" vertical="center" wrapText="1"/>
    </xf>
    <xf numFmtId="0" fontId="12" fillId="0" borderId="2" xfId="3" applyFont="1" applyBorder="1" applyAlignment="1">
      <alignment horizontal="left" vertical="center"/>
    </xf>
    <xf numFmtId="0" fontId="12" fillId="0" borderId="10" xfId="3" applyFont="1" applyBorder="1" applyAlignment="1">
      <alignment horizontal="left" vertical="center"/>
    </xf>
    <xf numFmtId="14" fontId="12" fillId="0" borderId="10" xfId="3" applyNumberFormat="1" applyFont="1" applyBorder="1" applyAlignment="1">
      <alignment horizontal="left" vertical="center"/>
    </xf>
    <xf numFmtId="0" fontId="12" fillId="0" borderId="2" xfId="3" applyFont="1" applyBorder="1" applyAlignment="1">
      <alignment horizontal="centerContinuous" vertical="center"/>
    </xf>
    <xf numFmtId="17" fontId="12" fillId="0" borderId="2" xfId="3" applyNumberFormat="1" applyFont="1" applyBorder="1" applyAlignment="1">
      <alignment horizontal="centerContinuous" vertical="center"/>
    </xf>
    <xf numFmtId="0" fontId="12" fillId="11" borderId="2" xfId="3" applyFont="1" applyFill="1" applyBorder="1" applyAlignment="1">
      <alignment horizontal="centerContinuous" vertical="center"/>
    </xf>
    <xf numFmtId="17" fontId="12" fillId="11" borderId="2" xfId="3" applyNumberFormat="1" applyFont="1" applyFill="1" applyBorder="1" applyAlignment="1">
      <alignment horizontal="centerContinuous" vertical="center"/>
    </xf>
    <xf numFmtId="0" fontId="12" fillId="9" borderId="0" xfId="3" applyFont="1" applyFill="1" applyAlignment="1">
      <alignment horizontal="centerContinuous" vertical="center"/>
    </xf>
    <xf numFmtId="0" fontId="12" fillId="12" borderId="0" xfId="3" applyFont="1" applyFill="1" applyAlignment="1">
      <alignment horizontal="centerContinuous" vertical="center"/>
    </xf>
    <xf numFmtId="0" fontId="12" fillId="13" borderId="0" xfId="3" applyFont="1" applyFill="1" applyAlignment="1">
      <alignment horizontal="centerContinuous" vertical="center"/>
    </xf>
    <xf numFmtId="17" fontId="12" fillId="11" borderId="9" xfId="3" applyNumberFormat="1" applyFont="1" applyFill="1" applyBorder="1" applyAlignment="1">
      <alignment horizontal="centerContinuous" vertical="center"/>
    </xf>
    <xf numFmtId="17" fontId="12" fillId="11" borderId="9" xfId="3" applyNumberFormat="1" applyFont="1" applyFill="1" applyBorder="1" applyAlignment="1">
      <alignment vertical="center"/>
    </xf>
    <xf numFmtId="17" fontId="12" fillId="0" borderId="9" xfId="3" applyNumberFormat="1" applyFont="1" applyBorder="1" applyAlignment="1">
      <alignment vertical="center"/>
    </xf>
    <xf numFmtId="0" fontId="12" fillId="0" borderId="9" xfId="3" applyFont="1" applyBorder="1" applyAlignment="1">
      <alignment vertical="center"/>
    </xf>
    <xf numFmtId="0" fontId="12" fillId="11" borderId="9" xfId="3" applyFont="1" applyFill="1" applyBorder="1" applyAlignment="1">
      <alignment vertical="center"/>
    </xf>
    <xf numFmtId="0" fontId="12" fillId="0" borderId="8" xfId="3" applyFont="1" applyBorder="1" applyAlignment="1">
      <alignment vertical="center"/>
    </xf>
    <xf numFmtId="0" fontId="12" fillId="14" borderId="10" xfId="3" applyFont="1" applyFill="1" applyBorder="1" applyAlignment="1">
      <alignment horizontal="left" vertical="center"/>
    </xf>
    <xf numFmtId="14" fontId="12" fillId="14" borderId="10" xfId="3" applyNumberFormat="1" applyFont="1" applyFill="1" applyBorder="1" applyAlignment="1">
      <alignment horizontal="left" vertical="center"/>
    </xf>
    <xf numFmtId="0" fontId="12" fillId="14" borderId="10" xfId="3" applyFont="1" applyFill="1" applyBorder="1" applyAlignment="1">
      <alignment horizontal="left" vertical="center" wrapText="1"/>
    </xf>
    <xf numFmtId="0" fontId="12" fillId="14" borderId="9" xfId="3" applyFont="1" applyFill="1" applyBorder="1" applyAlignment="1">
      <alignment horizontal="left" vertical="center"/>
    </xf>
    <xf numFmtId="17" fontId="12" fillId="14" borderId="9" xfId="3" applyNumberFormat="1" applyFont="1" applyFill="1" applyBorder="1" applyAlignment="1">
      <alignment vertical="center"/>
    </xf>
    <xf numFmtId="0" fontId="12" fillId="14" borderId="9" xfId="3" applyFont="1" applyFill="1" applyBorder="1" applyAlignment="1">
      <alignment vertical="center"/>
    </xf>
    <xf numFmtId="0" fontId="4" fillId="0" borderId="0" xfId="3" applyFont="1"/>
    <xf numFmtId="0" fontId="14" fillId="0" borderId="0" xfId="3" applyFont="1" applyAlignment="1">
      <alignment horizontal="left" vertical="center"/>
    </xf>
    <xf numFmtId="0" fontId="14" fillId="0" borderId="0" xfId="3" applyFont="1" applyAlignment="1">
      <alignment horizontal="right" vertical="center"/>
    </xf>
    <xf numFmtId="0" fontId="16" fillId="6" borderId="0" xfId="0" applyFont="1" applyFill="1" applyAlignment="1">
      <alignment horizontal="right" vertical="center" shrinkToFit="1"/>
    </xf>
    <xf numFmtId="0" fontId="16" fillId="6" borderId="0" xfId="0" applyFont="1" applyFill="1" applyAlignment="1">
      <alignment horizontal="left" vertical="center" shrinkToFit="1"/>
    </xf>
    <xf numFmtId="0" fontId="17" fillId="6" borderId="0" xfId="0" applyFont="1" applyFill="1" applyAlignment="1">
      <alignment horizontal="right" vertical="center" shrinkToFit="1"/>
    </xf>
    <xf numFmtId="0" fontId="16" fillId="6" borderId="0" xfId="0" applyFont="1" applyFill="1" applyAlignment="1">
      <alignment horizontal="right" vertical="center"/>
    </xf>
    <xf numFmtId="0" fontId="17" fillId="0" borderId="2" xfId="0" applyFont="1" applyBorder="1" applyAlignment="1">
      <alignment horizontal="right" vertical="center" shrinkToFit="1"/>
    </xf>
    <xf numFmtId="0" fontId="12" fillId="7" borderId="2" xfId="0" applyFont="1" applyFill="1" applyBorder="1" applyAlignment="1">
      <alignment horizontal="left" vertical="center" shrinkToFit="1"/>
    </xf>
    <xf numFmtId="0" fontId="16" fillId="0" borderId="2" xfId="0" applyFont="1" applyBorder="1" applyAlignment="1">
      <alignment horizontal="right" vertical="center" shrinkToFit="1"/>
    </xf>
    <xf numFmtId="0" fontId="16" fillId="0" borderId="2" xfId="0" applyFont="1" applyBorder="1" applyAlignment="1">
      <alignment horizontal="left" vertical="center" shrinkToFit="1"/>
    </xf>
    <xf numFmtId="49" fontId="12" fillId="7" borderId="2" xfId="0" applyNumberFormat="1" applyFont="1" applyFill="1" applyBorder="1" applyAlignment="1">
      <alignment horizontal="right" vertical="center" shrinkToFit="1"/>
    </xf>
    <xf numFmtId="0" fontId="16" fillId="0" borderId="2" xfId="0" applyFont="1" applyBorder="1" applyAlignment="1">
      <alignment horizontal="left" vertical="center"/>
    </xf>
    <xf numFmtId="49" fontId="12" fillId="7" borderId="2" xfId="0" applyNumberFormat="1" applyFont="1" applyFill="1" applyBorder="1" applyAlignment="1">
      <alignment horizontal="right" vertical="center" wrapText="1" shrinkToFit="1"/>
    </xf>
    <xf numFmtId="0" fontId="16" fillId="0" borderId="2" xfId="2" applyFont="1" applyBorder="1" applyAlignment="1">
      <alignment horizontal="right" vertical="center" shrinkToFit="1"/>
    </xf>
    <xf numFmtId="0" fontId="16" fillId="0" borderId="2" xfId="2" applyFont="1" applyBorder="1" applyAlignment="1">
      <alignment horizontal="left" vertical="center" shrinkToFit="1"/>
    </xf>
    <xf numFmtId="178" fontId="12" fillId="7" borderId="2" xfId="0" applyNumberFormat="1" applyFont="1" applyFill="1" applyBorder="1" applyAlignment="1">
      <alignment horizontal="right" vertical="center" shrinkToFit="1"/>
    </xf>
    <xf numFmtId="49" fontId="12" fillId="7" borderId="2" xfId="0" applyNumberFormat="1" applyFont="1" applyFill="1" applyBorder="1" applyAlignment="1">
      <alignment horizontal="left" vertical="center" shrinkToFit="1"/>
    </xf>
    <xf numFmtId="0" fontId="17" fillId="0" borderId="7" xfId="0" applyFont="1" applyBorder="1" applyAlignment="1">
      <alignment horizontal="right" vertical="center" shrinkToFit="1"/>
    </xf>
    <xf numFmtId="49" fontId="12" fillId="7" borderId="7" xfId="0" applyNumberFormat="1" applyFont="1" applyFill="1" applyBorder="1" applyAlignment="1">
      <alignment horizontal="left" vertical="center" shrinkToFit="1"/>
    </xf>
    <xf numFmtId="0" fontId="16" fillId="0" borderId="7" xfId="0" applyFont="1" applyBorder="1" applyAlignment="1">
      <alignment horizontal="right" vertical="center" shrinkToFit="1"/>
    </xf>
    <xf numFmtId="0" fontId="16" fillId="0" borderId="7" xfId="0" applyFont="1" applyBorder="1" applyAlignment="1">
      <alignment horizontal="left" vertical="center" shrinkToFit="1"/>
    </xf>
    <xf numFmtId="49" fontId="12" fillId="7" borderId="7" xfId="0" applyNumberFormat="1" applyFont="1" applyFill="1" applyBorder="1" applyAlignment="1">
      <alignment horizontal="right" vertical="center" shrinkToFit="1"/>
    </xf>
    <xf numFmtId="178" fontId="12" fillId="7" borderId="7" xfId="0" applyNumberFormat="1" applyFont="1" applyFill="1" applyBorder="1" applyAlignment="1">
      <alignment horizontal="right" vertical="center" shrinkToFit="1"/>
    </xf>
    <xf numFmtId="49" fontId="12" fillId="7" borderId="7" xfId="0" applyNumberFormat="1" applyFont="1" applyFill="1" applyBorder="1" applyAlignment="1">
      <alignment horizontal="right" vertical="center" wrapText="1" shrinkToFit="1"/>
    </xf>
    <xf numFmtId="0" fontId="5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3" borderId="3" xfId="0" applyNumberFormat="1" applyFont="1" applyFill="1" applyBorder="1" applyAlignment="1">
      <alignment horizontal="center" vertical="center"/>
    </xf>
    <xf numFmtId="176" fontId="4" fillId="5" borderId="3" xfId="0" applyNumberFormat="1" applyFont="1" applyFill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4" fillId="0" borderId="2" xfId="3" applyFont="1" applyBorder="1" applyAlignment="1">
      <alignment horizontal="left" vertical="center"/>
    </xf>
    <xf numFmtId="9" fontId="4" fillId="0" borderId="2" xfId="4" applyFont="1" applyBorder="1" applyAlignment="1">
      <alignment horizontal="right" vertical="center"/>
    </xf>
    <xf numFmtId="3" fontId="4" fillId="0" borderId="2" xfId="3" applyNumberFormat="1" applyFont="1" applyBorder="1" applyAlignment="1">
      <alignment horizontal="right" vertical="center"/>
    </xf>
    <xf numFmtId="180" fontId="4" fillId="0" borderId="2" xfId="4" applyNumberFormat="1" applyFont="1" applyBorder="1" applyAlignment="1">
      <alignment horizontal="right" vertical="center"/>
    </xf>
    <xf numFmtId="9" fontId="4" fillId="0" borderId="2" xfId="3" applyNumberFormat="1" applyFont="1" applyBorder="1" applyAlignment="1">
      <alignment horizontal="right" vertical="center"/>
    </xf>
    <xf numFmtId="181" fontId="4" fillId="0" borderId="2" xfId="3" applyNumberFormat="1" applyFont="1" applyBorder="1" applyAlignment="1">
      <alignment horizontal="right" vertical="center"/>
    </xf>
    <xf numFmtId="176" fontId="4" fillId="0" borderId="2" xfId="3" applyNumberFormat="1" applyFont="1" applyBorder="1" applyAlignment="1">
      <alignment horizontal="right" vertical="center"/>
    </xf>
    <xf numFmtId="0" fontId="4" fillId="0" borderId="2" xfId="3" applyFont="1" applyBorder="1" applyAlignment="1">
      <alignment horizontal="left" vertical="center" wrapText="1"/>
    </xf>
    <xf numFmtId="0" fontId="19" fillId="15" borderId="2" xfId="3" applyFont="1" applyFill="1" applyBorder="1" applyAlignment="1">
      <alignment horizontal="left" vertical="center"/>
    </xf>
    <xf numFmtId="0" fontId="18" fillId="15" borderId="2" xfId="3" applyFont="1" applyFill="1" applyBorder="1" applyAlignment="1">
      <alignment horizontal="left" vertical="center"/>
    </xf>
    <xf numFmtId="0" fontId="4" fillId="0" borderId="2" xfId="3" applyFont="1" applyBorder="1" applyAlignment="1">
      <alignment horizontal="centerContinuous" vertical="center"/>
    </xf>
    <xf numFmtId="0" fontId="12" fillId="0" borderId="1" xfId="3" applyFont="1" applyBorder="1" applyAlignment="1">
      <alignment horizontal="center" vertical="center"/>
    </xf>
    <xf numFmtId="0" fontId="12" fillId="0" borderId="11" xfId="3" applyFont="1" applyBorder="1" applyAlignment="1">
      <alignment horizontal="left" vertical="center"/>
    </xf>
    <xf numFmtId="0" fontId="12" fillId="12" borderId="11" xfId="3" applyFont="1" applyFill="1" applyBorder="1" applyAlignment="1">
      <alignment horizontal="centerContinuous" vertical="center"/>
    </xf>
    <xf numFmtId="0" fontId="12" fillId="0" borderId="12" xfId="3" applyFont="1" applyBorder="1" applyAlignment="1">
      <alignment horizontal="left" vertical="center"/>
    </xf>
    <xf numFmtId="0" fontId="12" fillId="16" borderId="9" xfId="3" applyFont="1" applyFill="1" applyBorder="1" applyAlignment="1">
      <alignment horizontal="centerContinuous" vertical="center"/>
    </xf>
    <xf numFmtId="0" fontId="12" fillId="11" borderId="9" xfId="3" applyFont="1" applyFill="1" applyBorder="1" applyAlignment="1">
      <alignment horizontal="centerContinuous" vertical="center"/>
    </xf>
    <xf numFmtId="0" fontId="12" fillId="0" borderId="10" xfId="3" applyFont="1" applyBorder="1" applyAlignment="1">
      <alignment vertical="center"/>
    </xf>
    <xf numFmtId="0" fontId="12" fillId="0" borderId="15" xfId="3" applyFont="1" applyBorder="1" applyAlignment="1">
      <alignment horizontal="left" vertical="center"/>
    </xf>
    <xf numFmtId="0" fontId="12" fillId="0" borderId="16" xfId="3" applyFont="1" applyBorder="1" applyAlignment="1">
      <alignment horizontal="left" vertical="center"/>
    </xf>
    <xf numFmtId="0" fontId="12" fillId="0" borderId="17" xfId="3" applyFont="1" applyBorder="1" applyAlignment="1">
      <alignment horizontal="left" vertical="center"/>
    </xf>
    <xf numFmtId="0" fontId="12" fillId="10" borderId="13" xfId="3" applyFont="1" applyFill="1" applyBorder="1" applyAlignment="1">
      <alignment horizontal="centerContinuous" vertical="center"/>
    </xf>
    <xf numFmtId="0" fontId="12" fillId="8" borderId="13" xfId="3" applyFont="1" applyFill="1" applyBorder="1" applyAlignment="1">
      <alignment horizontal="centerContinuous" vertical="center"/>
    </xf>
    <xf numFmtId="0" fontId="12" fillId="8" borderId="14" xfId="3" applyFont="1" applyFill="1" applyBorder="1" applyAlignment="1">
      <alignment horizontal="centerContinuous" vertical="center"/>
    </xf>
    <xf numFmtId="0" fontId="12" fillId="0" borderId="9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16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12" fillId="0" borderId="7" xfId="3" applyFont="1" applyBorder="1" applyAlignment="1">
      <alignment horizontal="left" vertical="center"/>
    </xf>
    <xf numFmtId="0" fontId="12" fillId="14" borderId="15" xfId="3" applyFont="1" applyFill="1" applyBorder="1" applyAlignment="1">
      <alignment horizontal="left" vertical="center" wrapText="1"/>
    </xf>
    <xf numFmtId="0" fontId="12" fillId="0" borderId="15" xfId="3" applyFont="1" applyBorder="1" applyAlignment="1">
      <alignment horizontal="left" vertical="center" wrapText="1"/>
    </xf>
    <xf numFmtId="0" fontId="12" fillId="14" borderId="16" xfId="3" applyFont="1" applyFill="1" applyBorder="1" applyAlignment="1">
      <alignment horizontal="left" vertical="center"/>
    </xf>
    <xf numFmtId="0" fontId="12" fillId="16" borderId="13" xfId="3" applyFont="1" applyFill="1" applyBorder="1" applyAlignment="1">
      <alignment horizontal="centerContinuous" vertical="center"/>
    </xf>
    <xf numFmtId="0" fontId="12" fillId="11" borderId="13" xfId="3" applyFont="1" applyFill="1" applyBorder="1" applyAlignment="1">
      <alignment horizontal="centerContinuous" vertical="center"/>
    </xf>
    <xf numFmtId="0" fontId="12" fillId="16" borderId="14" xfId="3" applyFont="1" applyFill="1" applyBorder="1" applyAlignment="1">
      <alignment horizontal="centerContinuous" vertical="center"/>
    </xf>
    <xf numFmtId="0" fontId="12" fillId="0" borderId="0" xfId="3" applyFont="1" applyAlignment="1">
      <alignment horizontal="left" vertical="center" wrapText="1"/>
    </xf>
    <xf numFmtId="0" fontId="4" fillId="0" borderId="2" xfId="3" applyFont="1" applyBorder="1" applyAlignment="1">
      <alignment horizontal="centerContinuous" vertical="center" wrapText="1"/>
    </xf>
    <xf numFmtId="0" fontId="4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4" fillId="14" borderId="2" xfId="3" applyFont="1" applyFill="1" applyBorder="1" applyAlignment="1">
      <alignment horizontal="left" vertical="center"/>
    </xf>
    <xf numFmtId="0" fontId="12" fillId="0" borderId="2" xfId="3" applyFont="1" applyBorder="1" applyAlignment="1">
      <alignment horizontal="center" vertical="center"/>
    </xf>
    <xf numFmtId="0" fontId="12" fillId="16" borderId="2" xfId="3" applyFont="1" applyFill="1" applyBorder="1" applyAlignment="1">
      <alignment horizontal="center" vertical="center"/>
    </xf>
    <xf numFmtId="0" fontId="22" fillId="0" borderId="0" xfId="5" applyFont="1" applyAlignment="1">
      <alignment vertical="center" wrapText="1"/>
    </xf>
    <xf numFmtId="0" fontId="12" fillId="0" borderId="1" xfId="3" applyFont="1" applyBorder="1" applyAlignment="1">
      <alignment horizontal="center" vertical="center" wrapText="1"/>
    </xf>
    <xf numFmtId="0" fontId="4" fillId="0" borderId="18" xfId="0" applyFont="1" applyBorder="1">
      <alignment vertical="center"/>
    </xf>
    <xf numFmtId="3" fontId="4" fillId="0" borderId="18" xfId="0" applyNumberFormat="1" applyFont="1" applyBorder="1">
      <alignment vertical="center"/>
    </xf>
    <xf numFmtId="9" fontId="4" fillId="0" borderId="18" xfId="0" applyNumberFormat="1" applyFont="1" applyBorder="1">
      <alignment vertical="center"/>
    </xf>
    <xf numFmtId="3" fontId="25" fillId="0" borderId="18" xfId="0" applyNumberFormat="1" applyFont="1" applyBorder="1">
      <alignment vertical="center"/>
    </xf>
    <xf numFmtId="0" fontId="25" fillId="0" borderId="0" xfId="3" applyFont="1" applyAlignmen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9" fontId="0" fillId="0" borderId="0" xfId="0" applyNumberFormat="1">
      <alignment vertical="center"/>
    </xf>
    <xf numFmtId="0" fontId="4" fillId="11" borderId="2" xfId="3" applyFont="1" applyFill="1" applyBorder="1" applyAlignment="1">
      <alignment horizontal="centerContinuous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4" fillId="11" borderId="2" xfId="0" applyFont="1" applyFill="1" applyBorder="1">
      <alignment vertical="center"/>
    </xf>
    <xf numFmtId="0" fontId="12" fillId="17" borderId="9" xfId="3" applyFont="1" applyFill="1" applyBorder="1" applyAlignment="1">
      <alignment horizontal="centerContinuous" vertical="center"/>
    </xf>
    <xf numFmtId="0" fontId="12" fillId="18" borderId="9" xfId="3" applyFont="1" applyFill="1" applyBorder="1" applyAlignment="1">
      <alignment horizontal="centerContinuous" vertical="center"/>
    </xf>
    <xf numFmtId="0" fontId="4" fillId="0" borderId="2" xfId="3" applyFont="1" applyBorder="1" applyAlignment="1">
      <alignment horizontal="right" vertical="center"/>
    </xf>
    <xf numFmtId="9" fontId="4" fillId="0" borderId="0" xfId="4" applyFont="1" applyBorder="1" applyAlignment="1">
      <alignment horizontal="right" vertical="center"/>
    </xf>
    <xf numFmtId="176" fontId="4" fillId="0" borderId="2" xfId="4" applyNumberFormat="1" applyFont="1" applyBorder="1" applyAlignment="1">
      <alignment horizontal="right" vertical="center"/>
    </xf>
    <xf numFmtId="181" fontId="4" fillId="0" borderId="2" xfId="4" applyNumberFormat="1" applyFont="1" applyBorder="1" applyAlignment="1">
      <alignment horizontal="right" vertical="center"/>
    </xf>
    <xf numFmtId="9" fontId="4" fillId="0" borderId="2" xfId="4" applyFont="1" applyFill="1" applyBorder="1" applyAlignment="1">
      <alignment horizontal="right" vertical="center"/>
    </xf>
    <xf numFmtId="181" fontId="4" fillId="0" borderId="2" xfId="4" applyNumberFormat="1" applyFont="1" applyFill="1" applyBorder="1" applyAlignment="1">
      <alignment horizontal="right" vertical="center"/>
    </xf>
    <xf numFmtId="0" fontId="4" fillId="10" borderId="2" xfId="3" applyFont="1" applyFill="1" applyBorder="1" applyAlignment="1">
      <alignment horizontal="left" vertical="center"/>
    </xf>
    <xf numFmtId="3" fontId="4" fillId="10" borderId="2" xfId="3" applyNumberFormat="1" applyFont="1" applyFill="1" applyBorder="1" applyAlignment="1">
      <alignment horizontal="right" vertical="center"/>
    </xf>
    <xf numFmtId="9" fontId="4" fillId="10" borderId="2" xfId="4" applyFont="1" applyFill="1" applyBorder="1" applyAlignment="1">
      <alignment horizontal="right" vertical="center"/>
    </xf>
    <xf numFmtId="180" fontId="4" fillId="10" borderId="2" xfId="4" applyNumberFormat="1" applyFont="1" applyFill="1" applyBorder="1" applyAlignment="1">
      <alignment horizontal="right" vertical="center"/>
    </xf>
    <xf numFmtId="9" fontId="4" fillId="10" borderId="2" xfId="3" applyNumberFormat="1" applyFont="1" applyFill="1" applyBorder="1" applyAlignment="1">
      <alignment horizontal="right" vertical="center"/>
    </xf>
    <xf numFmtId="181" fontId="4" fillId="10" borderId="2" xfId="3" applyNumberFormat="1" applyFont="1" applyFill="1" applyBorder="1" applyAlignment="1">
      <alignment horizontal="right" vertical="center"/>
    </xf>
    <xf numFmtId="176" fontId="4" fillId="10" borderId="2" xfId="3" applyNumberFormat="1" applyFont="1" applyFill="1" applyBorder="1" applyAlignment="1">
      <alignment horizontal="right" vertical="center"/>
    </xf>
    <xf numFmtId="176" fontId="4" fillId="10" borderId="2" xfId="4" applyNumberFormat="1" applyFont="1" applyFill="1" applyBorder="1" applyAlignment="1">
      <alignment horizontal="right" vertical="center"/>
    </xf>
    <xf numFmtId="181" fontId="4" fillId="10" borderId="2" xfId="4" applyNumberFormat="1" applyFont="1" applyFill="1" applyBorder="1" applyAlignment="1">
      <alignment horizontal="right" vertical="center"/>
    </xf>
    <xf numFmtId="0" fontId="4" fillId="0" borderId="19" xfId="3" applyFont="1" applyBorder="1" applyAlignment="1">
      <alignment horizontal="left" vertical="center"/>
    </xf>
    <xf numFmtId="176" fontId="4" fillId="0" borderId="19" xfId="4" applyNumberFormat="1" applyFont="1" applyBorder="1" applyAlignment="1">
      <alignment horizontal="right" vertical="center"/>
    </xf>
    <xf numFmtId="0" fontId="4" fillId="11" borderId="11" xfId="3" applyFont="1" applyFill="1" applyBorder="1" applyAlignment="1">
      <alignment horizontal="left" vertical="center"/>
    </xf>
    <xf numFmtId="3" fontId="4" fillId="11" borderId="11" xfId="3" applyNumberFormat="1" applyFont="1" applyFill="1" applyBorder="1" applyAlignment="1">
      <alignment horizontal="right" vertical="center"/>
    </xf>
    <xf numFmtId="180" fontId="4" fillId="14" borderId="2" xfId="4" applyNumberFormat="1" applyFont="1" applyFill="1" applyBorder="1" applyAlignment="1">
      <alignment horizontal="right" vertical="center"/>
    </xf>
    <xf numFmtId="9" fontId="4" fillId="14" borderId="2" xfId="4" applyFont="1" applyFill="1" applyBorder="1" applyAlignment="1">
      <alignment horizontal="right" vertical="center"/>
    </xf>
    <xf numFmtId="3" fontId="4" fillId="14" borderId="11" xfId="3" applyNumberFormat="1" applyFont="1" applyFill="1" applyBorder="1" applyAlignment="1">
      <alignment horizontal="right" vertical="center"/>
    </xf>
    <xf numFmtId="0" fontId="4" fillId="12" borderId="2" xfId="3" applyFont="1" applyFill="1" applyBorder="1" applyAlignment="1">
      <alignment horizontal="left" vertical="center"/>
    </xf>
    <xf numFmtId="181" fontId="4" fillId="12" borderId="2" xfId="4" applyNumberFormat="1" applyFont="1" applyFill="1" applyBorder="1" applyAlignment="1">
      <alignment horizontal="right" vertical="center"/>
    </xf>
    <xf numFmtId="176" fontId="4" fillId="12" borderId="2" xfId="4" applyNumberFormat="1" applyFont="1" applyFill="1" applyBorder="1" applyAlignment="1">
      <alignment horizontal="right" vertical="center"/>
    </xf>
    <xf numFmtId="0" fontId="4" fillId="0" borderId="19" xfId="3" applyFont="1" applyBorder="1" applyAlignment="1">
      <alignment horizontal="right" vertical="center"/>
    </xf>
    <xf numFmtId="0" fontId="4" fillId="11" borderId="11" xfId="3" applyFont="1" applyFill="1" applyBorder="1" applyAlignment="1">
      <alignment horizontal="right" vertical="center"/>
    </xf>
    <xf numFmtId="176" fontId="4" fillId="10" borderId="19" xfId="4" applyNumberFormat="1" applyFont="1" applyFill="1" applyBorder="1" applyAlignment="1">
      <alignment horizontal="right" vertical="center"/>
    </xf>
    <xf numFmtId="3" fontId="4" fillId="10" borderId="20" xfId="3" applyNumberFormat="1" applyFont="1" applyFill="1" applyBorder="1" applyAlignment="1">
      <alignment horizontal="right" vertical="center"/>
    </xf>
    <xf numFmtId="3" fontId="4" fillId="0" borderId="20" xfId="3" applyNumberFormat="1" applyFont="1" applyBorder="1" applyAlignment="1">
      <alignment horizontal="right" vertical="center"/>
    </xf>
    <xf numFmtId="9" fontId="4" fillId="10" borderId="20" xfId="4" applyFont="1" applyFill="1" applyBorder="1" applyAlignment="1">
      <alignment horizontal="right" vertical="center"/>
    </xf>
    <xf numFmtId="9" fontId="4" fillId="0" borderId="20" xfId="4" applyFont="1" applyBorder="1" applyAlignment="1">
      <alignment horizontal="right" vertical="center"/>
    </xf>
    <xf numFmtId="9" fontId="4" fillId="10" borderId="21" xfId="4" applyFont="1" applyFill="1" applyBorder="1" applyAlignment="1">
      <alignment horizontal="right" vertical="center"/>
    </xf>
    <xf numFmtId="3" fontId="4" fillId="10" borderId="21" xfId="3" applyNumberFormat="1" applyFont="1" applyFill="1" applyBorder="1" applyAlignment="1">
      <alignment horizontal="right" vertical="center"/>
    </xf>
    <xf numFmtId="9" fontId="4" fillId="0" borderId="20" xfId="4" applyFont="1" applyFill="1" applyBorder="1" applyAlignment="1">
      <alignment horizontal="right" vertical="center"/>
    </xf>
    <xf numFmtId="176" fontId="4" fillId="10" borderId="20" xfId="3" applyNumberFormat="1" applyFont="1" applyFill="1" applyBorder="1" applyAlignment="1">
      <alignment horizontal="right" vertical="center"/>
    </xf>
    <xf numFmtId="176" fontId="4" fillId="0" borderId="20" xfId="3" applyNumberFormat="1" applyFont="1" applyBorder="1" applyAlignment="1">
      <alignment horizontal="right" vertical="center"/>
    </xf>
    <xf numFmtId="176" fontId="4" fillId="10" borderId="21" xfId="3" applyNumberFormat="1" applyFont="1" applyFill="1" applyBorder="1" applyAlignment="1">
      <alignment horizontal="right" vertical="center"/>
    </xf>
    <xf numFmtId="181" fontId="4" fillId="10" borderId="20" xfId="3" applyNumberFormat="1" applyFont="1" applyFill="1" applyBorder="1" applyAlignment="1">
      <alignment horizontal="right" vertical="center"/>
    </xf>
    <xf numFmtId="181" fontId="4" fillId="0" borderId="20" xfId="3" applyNumberFormat="1" applyFont="1" applyBorder="1" applyAlignment="1">
      <alignment horizontal="right" vertical="center"/>
    </xf>
    <xf numFmtId="181" fontId="4" fillId="10" borderId="21" xfId="3" applyNumberFormat="1" applyFont="1" applyFill="1" applyBorder="1" applyAlignment="1">
      <alignment horizontal="right" vertical="center"/>
    </xf>
    <xf numFmtId="181" fontId="4" fillId="0" borderId="11" xfId="3" applyNumberFormat="1" applyFont="1" applyBorder="1" applyAlignment="1">
      <alignment horizontal="right" vertical="center"/>
    </xf>
    <xf numFmtId="0" fontId="4" fillId="0" borderId="11" xfId="3" applyFont="1" applyBorder="1" applyAlignment="1">
      <alignment horizontal="left" vertical="center"/>
    </xf>
    <xf numFmtId="9" fontId="4" fillId="10" borderId="20" xfId="3" applyNumberFormat="1" applyFont="1" applyFill="1" applyBorder="1" applyAlignment="1">
      <alignment horizontal="right" vertical="center"/>
    </xf>
    <xf numFmtId="9" fontId="4" fillId="0" borderId="20" xfId="3" applyNumberFormat="1" applyFont="1" applyBorder="1" applyAlignment="1">
      <alignment horizontal="right" vertical="center"/>
    </xf>
    <xf numFmtId="9" fontId="4" fillId="10" borderId="21" xfId="3" applyNumberFormat="1" applyFont="1" applyFill="1" applyBorder="1" applyAlignment="1">
      <alignment horizontal="right" vertical="center"/>
    </xf>
    <xf numFmtId="9" fontId="4" fillId="10" borderId="19" xfId="3" applyNumberFormat="1" applyFont="1" applyFill="1" applyBorder="1" applyAlignment="1">
      <alignment horizontal="right" vertical="center"/>
    </xf>
    <xf numFmtId="9" fontId="4" fillId="0" borderId="19" xfId="3" applyNumberFormat="1" applyFont="1" applyBorder="1" applyAlignment="1">
      <alignment horizontal="right" vertical="center"/>
    </xf>
    <xf numFmtId="0" fontId="1" fillId="0" borderId="0" xfId="6">
      <alignment vertical="center"/>
    </xf>
    <xf numFmtId="0" fontId="4" fillId="0" borderId="0" xfId="6" applyFont="1" applyAlignment="1">
      <alignment horizontal="left" vertical="center" indent="1"/>
    </xf>
    <xf numFmtId="176" fontId="1" fillId="0" borderId="0" xfId="6" applyNumberFormat="1">
      <alignment vertical="center"/>
    </xf>
    <xf numFmtId="182" fontId="4" fillId="10" borderId="2" xfId="3" applyNumberFormat="1" applyFont="1" applyFill="1" applyBorder="1" applyAlignment="1">
      <alignment horizontal="right" vertical="center"/>
    </xf>
    <xf numFmtId="182" fontId="4" fillId="0" borderId="2" xfId="3" applyNumberFormat="1" applyFont="1" applyBorder="1" applyAlignment="1">
      <alignment horizontal="right" vertical="center"/>
    </xf>
    <xf numFmtId="3" fontId="4" fillId="0" borderId="0" xfId="3" applyNumberFormat="1" applyFont="1" applyAlignment="1">
      <alignment horizontal="right" vertical="center"/>
    </xf>
    <xf numFmtId="180" fontId="4" fillId="10" borderId="20" xfId="4" applyNumberFormat="1" applyFont="1" applyFill="1" applyBorder="1" applyAlignment="1">
      <alignment horizontal="right" vertical="center"/>
    </xf>
    <xf numFmtId="180" fontId="4" fillId="0" borderId="20" xfId="4" applyNumberFormat="1" applyFont="1" applyFill="1" applyBorder="1" applyAlignment="1">
      <alignment horizontal="right" vertical="center"/>
    </xf>
    <xf numFmtId="180" fontId="4" fillId="10" borderId="21" xfId="4" applyNumberFormat="1" applyFont="1" applyFill="1" applyBorder="1" applyAlignment="1">
      <alignment horizontal="right" vertical="center"/>
    </xf>
    <xf numFmtId="3" fontId="4" fillId="16" borderId="11" xfId="3" applyNumberFormat="1" applyFont="1" applyFill="1" applyBorder="1" applyAlignment="1">
      <alignment horizontal="right" vertical="center"/>
    </xf>
    <xf numFmtId="0" fontId="4" fillId="16" borderId="11" xfId="3" applyFont="1" applyFill="1" applyBorder="1" applyAlignment="1">
      <alignment horizontal="left" vertical="center"/>
    </xf>
    <xf numFmtId="0" fontId="4" fillId="10" borderId="20" xfId="3" applyFont="1" applyFill="1" applyBorder="1" applyAlignment="1">
      <alignment horizontal="centerContinuous" vertical="center"/>
    </xf>
    <xf numFmtId="0" fontId="4" fillId="0" borderId="20" xfId="3" applyFont="1" applyBorder="1" applyAlignment="1">
      <alignment horizontal="centerContinuous" vertical="center"/>
    </xf>
    <xf numFmtId="0" fontId="4" fillId="10" borderId="21" xfId="3" applyFont="1" applyFill="1" applyBorder="1" applyAlignment="1">
      <alignment horizontal="centerContinuous" vertical="center" wrapText="1"/>
    </xf>
    <xf numFmtId="0" fontId="4" fillId="16" borderId="2" xfId="3" applyFont="1" applyFill="1" applyBorder="1" applyAlignment="1">
      <alignment horizontal="right" vertical="center"/>
    </xf>
    <xf numFmtId="0" fontId="4" fillId="16" borderId="2" xfId="3" applyFont="1" applyFill="1" applyBorder="1" applyAlignment="1">
      <alignment horizontal="left" vertical="center"/>
    </xf>
    <xf numFmtId="0" fontId="4" fillId="10" borderId="20" xfId="3" applyFont="1" applyFill="1" applyBorder="1" applyAlignment="1">
      <alignment horizontal="right" vertical="center"/>
    </xf>
    <xf numFmtId="0" fontId="4" fillId="0" borderId="20" xfId="3" applyFont="1" applyBorder="1" applyAlignment="1">
      <alignment horizontal="right" vertical="center"/>
    </xf>
    <xf numFmtId="0" fontId="4" fillId="10" borderId="21" xfId="3" applyFont="1" applyFill="1" applyBorder="1" applyAlignment="1">
      <alignment horizontal="right" vertical="center"/>
    </xf>
    <xf numFmtId="0" fontId="4" fillId="11" borderId="2" xfId="3" applyFont="1" applyFill="1" applyBorder="1" applyAlignment="1">
      <alignment horizontal="left" vertical="center"/>
    </xf>
    <xf numFmtId="180" fontId="0" fillId="0" borderId="0" xfId="4" applyNumberFormat="1" applyFont="1">
      <alignment vertical="center"/>
    </xf>
    <xf numFmtId="180" fontId="0" fillId="0" borderId="0" xfId="0" applyNumberFormat="1">
      <alignment vertical="center"/>
    </xf>
    <xf numFmtId="0" fontId="4" fillId="0" borderId="0" xfId="0" applyFont="1" applyAlignment="1">
      <alignment horizontal="right" vertical="center"/>
    </xf>
    <xf numFmtId="9" fontId="4" fillId="0" borderId="0" xfId="0" applyNumberFormat="1" applyFont="1" applyAlignment="1">
      <alignment horizontal="right" vertical="center"/>
    </xf>
    <xf numFmtId="0" fontId="18" fillId="15" borderId="2" xfId="0" applyFont="1" applyFill="1" applyBorder="1" applyAlignment="1">
      <alignment horizontal="right" vertical="center"/>
    </xf>
    <xf numFmtId="0" fontId="19" fillId="15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9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19" fillId="15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9" fillId="15" borderId="1" xfId="3" applyFont="1" applyFill="1" applyBorder="1" applyAlignment="1">
      <alignment horizontal="left" vertical="center"/>
    </xf>
    <xf numFmtId="0" fontId="19" fillId="15" borderId="1" xfId="3" applyFont="1" applyFill="1" applyBorder="1" applyAlignment="1">
      <alignment horizontal="right" vertical="center"/>
    </xf>
    <xf numFmtId="183" fontId="4" fillId="0" borderId="0" xfId="0" applyNumberFormat="1" applyFont="1">
      <alignment vertical="center"/>
    </xf>
    <xf numFmtId="0" fontId="4" fillId="0" borderId="0" xfId="3" applyFont="1" applyAlignment="1">
      <alignment vertical="center"/>
    </xf>
    <xf numFmtId="0" fontId="15" fillId="15" borderId="0" xfId="0" applyFont="1" applyFill="1" applyAlignment="1">
      <alignment horizontal="center" vertical="center" wrapText="1"/>
    </xf>
    <xf numFmtId="0" fontId="19" fillId="15" borderId="0" xfId="3" applyFont="1" applyFill="1" applyAlignment="1">
      <alignment horizontal="center" vertical="center"/>
    </xf>
    <xf numFmtId="3" fontId="4" fillId="0" borderId="0" xfId="3" applyNumberFormat="1" applyFont="1" applyAlignment="1">
      <alignment vertical="center"/>
    </xf>
    <xf numFmtId="3" fontId="4" fillId="0" borderId="0" xfId="0" applyNumberFormat="1" applyFont="1">
      <alignment vertical="center"/>
    </xf>
    <xf numFmtId="3" fontId="12" fillId="0" borderId="0" xfId="3" applyNumberFormat="1" applyFont="1" applyAlignment="1">
      <alignment horizontal="right" vertical="center" wrapText="1"/>
    </xf>
    <xf numFmtId="9" fontId="12" fillId="0" borderId="0" xfId="4" applyFont="1" applyAlignment="1">
      <alignment horizontal="right" vertical="center"/>
    </xf>
    <xf numFmtId="3" fontId="12" fillId="0" borderId="0" xfId="3" applyNumberFormat="1" applyFont="1" applyAlignment="1">
      <alignment horizontal="right" vertical="center"/>
    </xf>
    <xf numFmtId="10" fontId="12" fillId="0" borderId="0" xfId="4" applyNumberFormat="1" applyFont="1" applyBorder="1" applyAlignment="1">
      <alignment horizontal="right" vertical="center"/>
    </xf>
    <xf numFmtId="0" fontId="19" fillId="15" borderId="0" xfId="3" applyFont="1" applyFill="1" applyAlignment="1">
      <alignment horizontal="center" vertical="center" wrapText="1"/>
    </xf>
    <xf numFmtId="177" fontId="8" fillId="15" borderId="6" xfId="0" applyNumberFormat="1" applyFont="1" applyFill="1" applyBorder="1" applyAlignment="1">
      <alignment horizontal="center" vertical="center" wrapText="1"/>
    </xf>
    <xf numFmtId="0" fontId="12" fillId="17" borderId="0" xfId="3" applyFont="1" applyFill="1" applyAlignment="1">
      <alignment vertical="center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32" fillId="0" borderId="2" xfId="0" applyFont="1" applyBorder="1" applyAlignment="1">
      <alignment horizontal="left" vertical="center"/>
    </xf>
    <xf numFmtId="9" fontId="4" fillId="0" borderId="0" xfId="3" applyNumberFormat="1" applyFont="1" applyBorder="1" applyAlignment="1">
      <alignment horizontal="right" vertical="center"/>
    </xf>
    <xf numFmtId="0" fontId="4" fillId="14" borderId="0" xfId="3" applyFont="1" applyFill="1" applyBorder="1" applyAlignment="1">
      <alignment horizontal="left" vertical="center"/>
    </xf>
    <xf numFmtId="9" fontId="4" fillId="14" borderId="0" xfId="3" applyNumberFormat="1" applyFont="1" applyFill="1" applyBorder="1" applyAlignment="1">
      <alignment horizontal="right" vertical="center"/>
    </xf>
    <xf numFmtId="9" fontId="4" fillId="14" borderId="2" xfId="3" applyNumberFormat="1" applyFont="1" applyFill="1" applyBorder="1" applyAlignment="1">
      <alignment horizontal="right" vertical="center"/>
    </xf>
    <xf numFmtId="9" fontId="4" fillId="14" borderId="21" xfId="3" applyNumberFormat="1" applyFont="1" applyFill="1" applyBorder="1" applyAlignment="1">
      <alignment horizontal="right" vertical="center"/>
    </xf>
    <xf numFmtId="9" fontId="4" fillId="14" borderId="20" xfId="3" applyNumberFormat="1" applyFont="1" applyFill="1" applyBorder="1" applyAlignment="1">
      <alignment horizontal="right" vertical="center"/>
    </xf>
    <xf numFmtId="0" fontId="4" fillId="14" borderId="2" xfId="3" applyFont="1" applyFill="1" applyBorder="1" applyAlignment="1">
      <alignment horizontal="right" vertical="center"/>
    </xf>
    <xf numFmtId="0" fontId="4" fillId="14" borderId="21" xfId="3" applyFont="1" applyFill="1" applyBorder="1" applyAlignment="1">
      <alignment horizontal="right" vertical="center"/>
    </xf>
    <xf numFmtId="0" fontId="4" fillId="14" borderId="20" xfId="3" applyFont="1" applyFill="1" applyBorder="1" applyAlignment="1">
      <alignment horizontal="right" vertical="center"/>
    </xf>
    <xf numFmtId="0" fontId="12" fillId="14" borderId="0" xfId="3" applyFont="1" applyFill="1" applyAlignment="1">
      <alignment horizontal="left" vertical="center"/>
    </xf>
    <xf numFmtId="3" fontId="4" fillId="14" borderId="2" xfId="3" applyNumberFormat="1" applyFont="1" applyFill="1" applyBorder="1" applyAlignment="1">
      <alignment horizontal="right" vertical="center"/>
    </xf>
    <xf numFmtId="3" fontId="4" fillId="14" borderId="21" xfId="3" applyNumberFormat="1" applyFont="1" applyFill="1" applyBorder="1" applyAlignment="1">
      <alignment horizontal="right" vertical="center"/>
    </xf>
    <xf numFmtId="3" fontId="4" fillId="14" borderId="20" xfId="3" applyNumberFormat="1" applyFont="1" applyFill="1" applyBorder="1" applyAlignment="1">
      <alignment horizontal="right" vertical="center"/>
    </xf>
    <xf numFmtId="0" fontId="30" fillId="14" borderId="2" xfId="3" applyFont="1" applyFill="1" applyBorder="1" applyAlignment="1">
      <alignment horizontal="left" vertical="center"/>
    </xf>
    <xf numFmtId="0" fontId="4" fillId="19" borderId="2" xfId="3" applyFont="1" applyFill="1" applyBorder="1" applyAlignment="1">
      <alignment horizontal="left" vertical="center"/>
    </xf>
    <xf numFmtId="0" fontId="14" fillId="19" borderId="2" xfId="3" applyFont="1" applyFill="1" applyBorder="1" applyAlignment="1">
      <alignment horizontal="left" vertical="center"/>
    </xf>
    <xf numFmtId="0" fontId="4" fillId="19" borderId="11" xfId="3" applyFont="1" applyFill="1" applyBorder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4" fillId="0" borderId="0" xfId="6" applyFont="1" applyAlignment="1">
      <alignment horizontal="left" vertical="center" wrapText="1"/>
    </xf>
    <xf numFmtId="0" fontId="4" fillId="19" borderId="0" xfId="3" applyFont="1" applyFill="1" applyBorder="1" applyAlignment="1">
      <alignment horizontal="left" vertical="center"/>
    </xf>
    <xf numFmtId="9" fontId="4" fillId="0" borderId="21" xfId="4" applyFont="1" applyFill="1" applyBorder="1" applyAlignment="1">
      <alignment horizontal="right" vertical="center"/>
    </xf>
    <xf numFmtId="0" fontId="12" fillId="0" borderId="0" xfId="3" applyFont="1" applyAlignment="1">
      <alignment horizontal="left" vertical="center" indent="1"/>
    </xf>
    <xf numFmtId="0" fontId="12" fillId="0" borderId="0" xfId="3" applyFont="1" applyAlignment="1">
      <alignment horizontal="left" indent="1"/>
    </xf>
    <xf numFmtId="0" fontId="12" fillId="0" borderId="0" xfId="3" applyFont="1" applyAlignment="1">
      <alignment horizontal="right" vertical="center"/>
    </xf>
    <xf numFmtId="0" fontId="12" fillId="0" borderId="0" xfId="3" applyFont="1" applyAlignment="1">
      <alignment horizontal="right"/>
    </xf>
    <xf numFmtId="0" fontId="15" fillId="15" borderId="2" xfId="3" applyFont="1" applyFill="1" applyBorder="1" applyAlignment="1">
      <alignment horizontal="left" vertical="center"/>
    </xf>
    <xf numFmtId="0" fontId="15" fillId="15" borderId="2" xfId="3" applyFont="1" applyFill="1" applyBorder="1" applyAlignment="1">
      <alignment horizontal="right" vertical="center"/>
    </xf>
    <xf numFmtId="0" fontId="12" fillId="0" borderId="2" xfId="3" applyFont="1" applyBorder="1" applyAlignment="1">
      <alignment horizontal="right" vertical="center"/>
    </xf>
    <xf numFmtId="0" fontId="12" fillId="0" borderId="2" xfId="0" applyFont="1" applyBorder="1">
      <alignment vertical="center"/>
    </xf>
    <xf numFmtId="0" fontId="12" fillId="0" borderId="2" xfId="3" applyFont="1" applyFill="1" applyBorder="1" applyAlignment="1">
      <alignment horizontal="right" vertical="center"/>
    </xf>
    <xf numFmtId="176" fontId="12" fillId="0" borderId="2" xfId="3" applyNumberFormat="1" applyFont="1" applyFill="1" applyBorder="1" applyAlignment="1">
      <alignment horizontal="right" vertical="center"/>
    </xf>
    <xf numFmtId="3" fontId="12" fillId="0" borderId="2" xfId="3" applyNumberFormat="1" applyFont="1" applyFill="1" applyBorder="1" applyAlignment="1">
      <alignment horizontal="right" vertical="center"/>
    </xf>
    <xf numFmtId="9" fontId="12" fillId="0" borderId="2" xfId="4" applyFont="1" applyFill="1" applyBorder="1" applyAlignment="1">
      <alignment horizontal="right" vertical="center"/>
    </xf>
    <xf numFmtId="176" fontId="12" fillId="0" borderId="2" xfId="4" applyNumberFormat="1" applyFont="1" applyFill="1" applyBorder="1" applyAlignment="1">
      <alignment horizontal="right" vertical="center"/>
    </xf>
    <xf numFmtId="180" fontId="12" fillId="0" borderId="2" xfId="4" applyNumberFormat="1" applyFont="1" applyFill="1" applyBorder="1" applyAlignment="1">
      <alignment horizontal="right" vertical="center"/>
    </xf>
    <xf numFmtId="9" fontId="12" fillId="0" borderId="2" xfId="3" applyNumberFormat="1" applyFont="1" applyFill="1" applyBorder="1" applyAlignment="1">
      <alignment horizontal="right" vertical="center"/>
    </xf>
    <xf numFmtId="14" fontId="12" fillId="0" borderId="2" xfId="0" applyNumberFormat="1" applyFont="1" applyBorder="1">
      <alignment vertical="center"/>
    </xf>
  </cellXfs>
  <cellStyles count="7">
    <cellStyle name="パーセント" xfId="4" builtinId="5"/>
    <cellStyle name="ハイパーリンク" xfId="5" builtinId="8"/>
    <cellStyle name="標準" xfId="0" builtinId="0"/>
    <cellStyle name="標準 2" xfId="1" xr:uid="{7C2176FD-59DB-1641-946D-94A23C50AEA7}"/>
    <cellStyle name="標準 3" xfId="3" xr:uid="{CD2B6355-A172-684B-8C7B-239225044234}"/>
    <cellStyle name="標準 4" xfId="6" xr:uid="{44A64CB3-8903-7E46-83C5-A37CF7EECBC9}"/>
    <cellStyle name="標準_2010SS TB新素材一覧表(追加発売分サンプル用反染色依頼)" xfId="2" xr:uid="{EA0BF7DF-ABFE-4044-A6DC-97AC2F238FEC}"/>
  </cellStyles>
  <dxfs count="143">
    <dxf>
      <fill>
        <patternFill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178" formatCode="0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eiryo UI"/>
        <charset val="128"/>
        <scheme val="none"/>
      </font>
      <alignment horizontal="lef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eiryo UI"/>
        <charset val="128"/>
        <scheme val="none"/>
      </font>
      <alignment horizontal="righ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1" readingOrder="0"/>
      <border diagonalUp="0" diagonalDown="0" outline="0">
        <left/>
        <right/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eiryo UI"/>
        <charset val="128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eiryo UI"/>
        <charset val="128"/>
        <scheme val="none"/>
      </font>
      <alignment horizontal="right" vertical="center" textRotation="0" wrapText="0" indent="0" justifyLastLine="0" shrinkToFit="1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border outline="0"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charset val="128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eiryo UI"/>
        <charset val="128"/>
        <scheme val="none"/>
      </font>
      <fill>
        <patternFill patternType="solid">
          <fgColor indexed="64"/>
          <bgColor theme="8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iryo UI"/>
        <charset val="128"/>
        <scheme val="none"/>
      </font>
      <numFmt numFmtId="177" formatCode="_([$USD]\ * #,##0.00_)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eiryo UI"/>
        <charset val="128"/>
        <scheme val="none"/>
      </font>
      <numFmt numFmtId="177" formatCode="_([$USD]\ * #,##0.00_)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numFmt numFmtId="176" formatCode="0_);[Red]\(0\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auto="1"/>
        </top>
        <bottom style="thin">
          <color rgb="FFCCCCCC"/>
        </bottom>
        <vertical/>
        <horizontal/>
      </border>
    </dxf>
    <dxf>
      <border outline="0">
        <top style="thin">
          <color auto="1"/>
        </top>
      </border>
    </dxf>
    <dxf>
      <border outline="0"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charset val="128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name val="Meiryo UI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0" formatCode="General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eiryo UI"/>
        <family val="2"/>
        <charset val="128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0" formatCode="General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eiryo UI"/>
        <family val="2"/>
        <charset val="128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14" formatCode="0.00%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13" formatCode="0%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13" formatCode="0%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13" formatCode="0%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3" formatCode="#,##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numFmt numFmtId="3" formatCode="#,##0"/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alignment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horizontal="general" vertical="center" textRotation="0" wrapText="0" indent="0" justifyLastLine="0" shrinkToFit="0" readingOrder="0"/>
    </dxf>
    <dxf>
      <border>
        <top style="double">
          <color auto="1"/>
        </top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Meiryo UI"/>
        <family val="2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89CDC2-2AFE-FD48-BC4D-BE6DFB9F9D05}" name="売上粗利計画" displayName="売上粗利計画" ref="C2:W8" totalsRowCount="1" headerRowDxfId="142" dataDxfId="141" totalsRowDxfId="140" totalsRowBorderDxfId="139" headerRowCellStyle="標準 3" dataCellStyle="標準 3">
  <autoFilter ref="C2:W7" xr:uid="{6FAEC8B3-4BE1-AD4C-8EC6-D4D6A711730A}">
    <filterColumn colId="1">
      <filters>
        <filter val="FW"/>
        <filter val="SS"/>
      </filters>
    </filterColumn>
  </autoFilter>
  <tableColumns count="21">
    <tableColumn id="19" xr3:uid="{DCCD3D1D-8F1E-7845-BCEA-6353D196A95E}" name="ブランド_x000a_コード" dataDxfId="138" totalsRowDxfId="137" dataCellStyle="標準 3"/>
    <tableColumn id="12" xr3:uid="{F0395AC0-442D-254F-BD88-15906D743C4C}" name="シーズン_x000a_コード" dataDxfId="136" totalsRowDxfId="135" dataCellStyle="標準 3"/>
    <tableColumn id="20" xr3:uid="{E2FFD156-477F-2345-82B6-E95BE1D91367}" name="回数" dataDxfId="134" totalsRowDxfId="133"/>
    <tableColumn id="1" xr3:uid="{8A820E1B-3572-C444-A5E4-EA26CACA96D7}" name="SKU_x000a_コード" dataDxfId="132" totalsRowDxfId="131"/>
    <tableColumn id="21" xr3:uid="{1F82D4DA-8F48-F948-9206-8584CAA02C70}" name="STYLE NUMBER" dataDxfId="130" totalsRowDxfId="129">
      <calculatedColumnFormula>売上粗利計画[[#This Row],[ブランド
コード]]&amp;売上粗利計画[[#This Row],[シーズン
コード]]&amp;売上粗利計画[[#This Row],[回数]]&amp;売上粗利計画[[#This Row],[SKU
コード]]</calculatedColumnFormula>
    </tableColumn>
    <tableColumn id="18" xr3:uid="{85D85214-F925-BE43-AE2F-FB947EF26FD9}" name="COLOR_CODE" dataDxfId="128" totalsRowDxfId="127"/>
    <tableColumn id="11" xr3:uid="{5CA01EED-5554-C142-B45E-5FC4044F5BE4}" name="カテゴリ" dataDxfId="126" totalsRowDxfId="125"/>
    <tableColumn id="10" xr3:uid="{E1D55399-4AC3-9C4B-B37D-DB7F52B43CCE}" name="アイテム名" dataDxfId="124" totalsRowDxfId="123"/>
    <tableColumn id="2" xr3:uid="{9361BB3B-58C7-6540-8399-F370ED16BEDA}" name="生産枚数" totalsRowFunction="sum" dataDxfId="122" totalsRowDxfId="121" dataCellStyle="標準 3">
      <calculatedColumnFormula>SKUカラー!K3</calculatedColumnFormula>
    </tableColumn>
    <tableColumn id="13" xr3:uid="{69EE6C5F-1526-0B42-842F-4EEBB4C719BB}" name="ターゲット_x000a_上代_税抜" totalsRowFunction="custom" dataDxfId="120" totalsRowDxfId="119" dataCellStyle="標準 3">
      <totalsRowFormula>MEDIAN(売上粗利計画[ターゲット
上代_税抜])</totalsRowFormula>
    </tableColumn>
    <tableColumn id="3" xr3:uid="{85569877-9834-6C45-AF19-7D6AF881415B}" name="定価" dataDxfId="118" totalsRowDxfId="117" dataCellStyle="標準 3">
      <calculatedColumnFormula>ROUNDUP(売上粗利計画[[#This Row],[原価]]/売上粗利計画[[#This Row],[原価率]],0)</calculatedColumnFormula>
    </tableColumn>
    <tableColumn id="4" xr3:uid="{A51C8A7D-EEF1-2046-80D0-D4FBC91A3E48}" name="売上予測" totalsRowFunction="sum" dataDxfId="116" totalsRowDxfId="115" dataCellStyle="標準 3">
      <calculatedColumnFormula>売上粗利計画[[#This Row],[生産枚数]]*売上粗利計画[[#This Row],[定価]]</calculatedColumnFormula>
    </tableColumn>
    <tableColumn id="15" xr3:uid="{5C3DD00B-3550-E44F-8525-6A4547A80FF4}" name="消化率予測" totalsRowFunction="custom" dataDxfId="114" totalsRowDxfId="113" dataCellStyle="パーセント">
      <totalsRowFormula>MEDIAN(売上粗利計画[[#Headers],[#Data],[消化率予測]])</totalsRowFormula>
    </tableColumn>
    <tableColumn id="17" xr3:uid="{13A39853-63B1-2C48-9143-45AFA111568C}" name="割引率" totalsRowFunction="custom" dataDxfId="112" totalsRowDxfId="111" dataCellStyle="パーセント">
      <totalsRowFormula>MEDIAN(売上粗利計画[[#Headers],[#Data],[割引率]])</totalsRowFormula>
    </tableColumn>
    <tableColumn id="16" xr3:uid="{D900EBEA-C455-8B45-9802-42FED05F367F}" name="目標売上" totalsRowFunction="sum" dataDxfId="110" totalsRowDxfId="109" dataCellStyle="パーセント">
      <calculatedColumnFormula>ROUNDUP(売上粗利計画[[#This Row],[生産枚数]]*売上粗利計画[[#This Row],[消化率予測]]*(売上粗利計画[[#This Row],[定価]]*(1-売上粗利計画[[#This Row],[割引率]])),0)</calculatedColumnFormula>
    </tableColumn>
    <tableColumn id="5" xr3:uid="{4D257475-ECFA-E74A-94F9-F44C899C3761}" name="原価" dataDxfId="108" totalsRowDxfId="107" dataCellStyle="標準 3">
      <calculatedColumnFormula>売上粗利計画[[#This Row],[ターゲット
上代_税抜]]*売上粗利計画[[#This Row],[原価率]]</calculatedColumnFormula>
    </tableColumn>
    <tableColumn id="9" xr3:uid="{C9B361F9-3B13-A84C-B681-F2C61D3B30B7}" name="原価率" totalsRowFunction="custom" dataDxfId="106" totalsRowDxfId="105" dataCellStyle="標準 3">
      <totalsRowFormula>MEDIAN(売上粗利計画[原価率])</totalsRowFormula>
    </tableColumn>
    <tableColumn id="14" xr3:uid="{A376BC57-BCE5-BD47-8E0D-DCAFEAE48C07}" name="製造コスト" totalsRowFunction="sum" dataDxfId="104" totalsRowDxfId="103" dataCellStyle="パーセント">
      <calculatedColumnFormula>売上粗利計画[[#This Row],[生産枚数]]*売上粗利計画[[#This Row],[原価]]</calculatedColumnFormula>
    </tableColumn>
    <tableColumn id="6" xr3:uid="{E9BE2CC8-EFEF-0746-B7AB-109539B32405}" name="粗利" totalsRowFunction="sum" dataDxfId="102" totalsRowDxfId="101" dataCellStyle="標準 3">
      <calculatedColumnFormula>売上粗利計画[[#This Row],[目標売上]]-(売上粗利計画[[#This Row],[原価]]*売上粗利計画[[#This Row],[生産枚数]]*売上粗利計画[[#This Row],[消化率予測]])</calculatedColumnFormula>
    </tableColumn>
    <tableColumn id="7" xr3:uid="{D39BE27B-49CD-674E-8520-D9414FDB2330}" name="粗利率" dataDxfId="100" totalsRowDxfId="99" dataCellStyle="標準 3">
      <calculatedColumnFormula>売上粗利計画[[#This Row],[粗利]]/売上粗利計画[[#This Row],[目標売上]]</calculatedColumnFormula>
    </tableColumn>
    <tableColumn id="8" xr3:uid="{328B8CA9-A7A4-7A44-BD57-CFDADE6A9EA9}" name="DEL" dataDxfId="98" totalsRowDxfId="97" dataCellStyle="標準 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78E8A-3DC9-E24A-9C45-380891064F43}" name="テーブル2" displayName="テーブル2" ref="B2:K8" totalsRowCount="1" headerRowDxfId="96" dataDxfId="95" headerRowCellStyle="標準 3" dataCellStyle="標準 3">
  <autoFilter ref="B2:K7" xr:uid="{46A78E8A-3DC9-E24A-9C45-380891064F43}"/>
  <tableColumns count="10">
    <tableColumn id="1" xr3:uid="{6F5E5CC1-0C12-A14E-87FD-C39B7A92B01D}" name="STYLE NUMBER" dataDxfId="94" totalsRowDxfId="93" dataCellStyle="標準 3">
      <calculatedColumnFormula>売上粗利計画[[#This Row],[ブランド
コード]]&amp;売上粗利計画[[#This Row],[シーズン
コード]]&amp;売上粗利計画[[#This Row],[回数]]&amp;売上粗利計画[[#This Row],[SKU
コード]]</calculatedColumnFormula>
    </tableColumn>
    <tableColumn id="2" xr3:uid="{938ADFE5-8A0E-214A-9798-2955F4BED546}" name="商品名" dataDxfId="92" totalsRowDxfId="91" dataCellStyle="標準 3">
      <calculatedColumnFormula>売上粗利計画[[#This Row],[アイテム名]]</calculatedColumnFormula>
    </tableColumn>
    <tableColumn id="3" xr3:uid="{C3656D5A-AFEE-0744-AE24-F17B6678B651}" name="カテゴリ" dataDxfId="90" totalsRowDxfId="89" dataCellStyle="標準 3">
      <calculatedColumnFormula>売上粗利計画[[#This Row],[カテゴリ]]</calculatedColumnFormula>
    </tableColumn>
    <tableColumn id="4" xr3:uid="{2F6117AB-CB93-C94A-9862-21633F79616B}" name="カラー数" dataDxfId="88" totalsRowDxfId="87" dataCellStyle="標準 3"/>
    <tableColumn id="5" xr3:uid="{DEA1936C-9993-5C4D-B314-F5B9BA880FCD}" name="サイズ展開" dataDxfId="86" totalsRowDxfId="85" dataCellStyle="標準 3"/>
    <tableColumn id="6" xr3:uid="{C4CF86DC-790A-D14B-8FD8-C7C779914D6E}" name="定価" dataDxfId="84" totalsRowDxfId="83" dataCellStyle="標準 3">
      <calculatedColumnFormula>売上粗利計画[[#This Row],[定価]]</calculatedColumnFormula>
    </tableColumn>
    <tableColumn id="7" xr3:uid="{25B723CE-041F-AC40-8D6A-509D4B2DE2DA}" name="原価" dataDxfId="82" totalsRowDxfId="81" dataCellStyle="標準 3">
      <calculatedColumnFormula>売上粗利計画[[#This Row],[原価]]</calculatedColumnFormula>
    </tableColumn>
    <tableColumn id="8" xr3:uid="{745FFB20-6C11-1145-8E68-179878AE9F9C}" name="在庫数" totalsRowFunction="custom" dataDxfId="80" totalsRowDxfId="79" dataCellStyle="標準 3">
      <calculatedColumnFormula>売上粗利計画[[#This Row],[生産枚数]]</calculatedColumnFormula>
      <totalsRowFormula>SUM(テーブル2[在庫数])</totalsRowFormula>
    </tableColumn>
    <tableColumn id="10" xr3:uid="{686518E8-6E4F-FC42-A1F7-C3A24E7526D9}" name="DEL" dataDxfId="78" totalsRowDxfId="77" dataCellStyle="標準 3">
      <calculatedColumnFormula>売上粗利計画[[#This Row],[DEL]]</calculatedColumnFormula>
    </tableColumn>
    <tableColumn id="9" xr3:uid="{C94F9FEC-5161-DE4B-A3D6-E8E34BDF7685}" name="備考" dataDxfId="76" totalsRowDxfId="75" dataCellStyle="標準 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7C1B0C-91C8-0A43-BA02-71B2185A6D3D}" name="SKUカラー" displayName="SKUカラー" ref="B2:Q12" totalsRowCount="1" headerRowDxfId="74" dataDxfId="73" headerRowCellStyle="標準 3" dataCellStyle="標準 3">
  <autoFilter ref="B2:Q11" xr:uid="{46A78E8A-3DC9-E24A-9C45-380891064F43}"/>
  <tableColumns count="16">
    <tableColumn id="1" xr3:uid="{957F6B7C-4847-1543-92BD-F50BBC64FBED}" name="STYLE NUMBER" dataDxfId="72" totalsRowDxfId="71" dataCellStyle="標準 3">
      <calculatedColumnFormula>売上粗利計画[[#This Row],[ブランド
コード]]&amp;売上粗利計画[[#This Row],[シーズン
コード]]&amp;売上粗利計画[[#This Row],[回数]]&amp;売上粗利計画[[#This Row],[SKU
コード]]</calculatedColumnFormula>
    </tableColumn>
    <tableColumn id="2" xr3:uid="{76ED113F-28FB-0440-96C4-6A8125529EB5}" name="商品名" dataDxfId="70" totalsRowDxfId="69" dataCellStyle="標準 3">
      <calculatedColumnFormula>売上粗利計画[[#This Row],[アイテム名]]</calculatedColumnFormula>
    </tableColumn>
    <tableColumn id="3" xr3:uid="{C2FD9C0F-A3D1-2C4A-8168-054AA5CDF3A1}" name="カテゴリ" dataDxfId="68" totalsRowDxfId="67" dataCellStyle="標準 3">
      <calculatedColumnFormula>売上粗利計画[[#This Row],[カテゴリ]]</calculatedColumnFormula>
    </tableColumn>
    <tableColumn id="4" xr3:uid="{E5B400A7-7B15-EA4D-A8CE-AF82EB5534EB}" name="COLOR_CODE" dataDxfId="66" totalsRowDxfId="65" dataCellStyle="標準 3"/>
    <tableColumn id="5" xr3:uid="{1B2F25D7-9D84-DF44-9516-17E501749A46}" name="S" dataDxfId="64" totalsRowDxfId="63" dataCellStyle="標準 3"/>
    <tableColumn id="11" xr3:uid="{782015B4-E4A2-E24B-961C-73C43851216F}" name="M" dataDxfId="62" totalsRowDxfId="61" dataCellStyle="標準 3"/>
    <tableColumn id="12" xr3:uid="{A7663D89-CAE3-D84D-B3B4-B1527F3667B4}" name="L" dataDxfId="60" totalsRowDxfId="59" dataCellStyle="標準 3"/>
    <tableColumn id="13" xr3:uid="{60415143-EF88-F341-9D4C-103AA61336B7}" name="XL" dataDxfId="58" totalsRowDxfId="57" dataCellStyle="標準 3"/>
    <tableColumn id="15" xr3:uid="{FF42A80C-5128-024A-BB16-C010D98D5C84}" name="UNIT" dataDxfId="56" totalsRowDxfId="55" dataCellStyle="標準 3"/>
    <tableColumn id="14" xr3:uid="{099FA644-0319-B746-95B5-4D9F88B79AD4}" name="数量" dataDxfId="54" totalsRowDxfId="53" dataCellStyle="標準 3">
      <calculatedColumnFormula>SUM(SKUカラー[[#This Row],[S]:[XL]])*SKUカラー[[#This Row],[UNIT]]</calculatedColumnFormula>
    </tableColumn>
    <tableColumn id="16" xr3:uid="{E88D1113-CE63-214C-A03A-2D9B8FB9228F}" name="各合計数量" dataDxfId="52" totalsRowDxfId="51" dataCellStyle="標準 3">
      <calculatedColumnFormula>SUM($K1:$K2)</calculatedColumnFormula>
    </tableColumn>
    <tableColumn id="6" xr3:uid="{A09A3FE3-65DC-6F41-B01B-16214C2EC277}" name="上代(税抜)" dataDxfId="50" totalsRowDxfId="49" dataCellStyle="標準 3">
      <calculatedColumnFormula>売上粗利計画[[#This Row],[定価]]</calculatedColumnFormula>
    </tableColumn>
    <tableColumn id="7" xr3:uid="{F28BADFD-C589-C141-AAEE-369815CF2637}" name="unit cost_x000a_原価" dataDxfId="48" totalsRowDxfId="47" dataCellStyle="標準 3">
      <calculatedColumnFormula>売上粗利計画[[#This Row],[原価]]</calculatedColumnFormula>
    </tableColumn>
    <tableColumn id="8" xr3:uid="{A2B013D1-FCAF-AF4C-81C2-89BEDA97174B}" name="在庫数" totalsRowFunction="custom" dataDxfId="46" totalsRowDxfId="45" dataCellStyle="標準 3">
      <calculatedColumnFormula>売上粗利計画[[#This Row],[生産枚数]]</calculatedColumnFormula>
      <totalsRowFormula>SUM(SKUカラー[在庫数])</totalsRowFormula>
    </tableColumn>
    <tableColumn id="10" xr3:uid="{F8CFFFD4-3406-A549-AB42-C383AC0B560F}" name="DEL" dataDxfId="44" totalsRowDxfId="43" dataCellStyle="標準 3">
      <calculatedColumnFormula>売上粗利計画[[#This Row],[DEL]]</calculatedColumnFormula>
    </tableColumn>
    <tableColumn id="9" xr3:uid="{1CC6CFED-D5E4-A44D-B432-05EAE05F05EC}" name="備考" dataDxfId="42" totalsRowDxfId="41" dataCellStyle="標準 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70B5C-4773-EF43-9595-C3C640992107}" name="テーブル1" displayName="テーブル1" ref="B2:L111" totalsRowShown="0" headerRowDxfId="40" dataDxfId="38" headerRowBorderDxfId="39" tableBorderDxfId="37" totalsRowBorderDxfId="36">
  <autoFilter ref="B2:L111" xr:uid="{6C170B5C-4773-EF43-9595-C3C640992107}"/>
  <tableColumns count="11">
    <tableColumn id="11" xr3:uid="{D80F96B4-0842-0C4C-978B-5DEAC4ACB95A}" name="Collection Name" dataDxfId="35"/>
    <tableColumn id="1" xr3:uid="{3A77978F-A134-D045-A1A3-1CB0192CC2F4}" name="STYLE NUMBER" dataDxfId="34"/>
    <tableColumn id="2" xr3:uid="{66EA4E23-1BEA-1F44-9B41-CDE75E50EC57}" name="SKU" dataDxfId="33"/>
    <tableColumn id="3" xr3:uid="{6686B379-AC0C-D247-A417-D5D4148FA6B6}" name="ITEM_NAME" dataDxfId="32"/>
    <tableColumn id="4" xr3:uid="{4CED03E8-0BB0-D74E-9BF6-773CA7DFAA38}" name="CATEGORY" dataDxfId="31"/>
    <tableColumn id="5" xr3:uid="{65BA209F-868B-8849-988A-B82C5F086D00}" name="COLOR_CODE" dataDxfId="30"/>
    <tableColumn id="6" xr3:uid="{0D69F381-A45E-BF43-B7B7-2E582CEF93F9}" name="SIZE" dataDxfId="29"/>
    <tableColumn id="7" xr3:uid="{2E94FEE3-76C9-6E43-8854-C8FBA18D294A}" name="DEL" dataDxfId="28">
      <calculatedColumnFormula>SKUマスタ!$J$3</calculatedColumnFormula>
    </tableColumn>
    <tableColumn id="8" xr3:uid="{FFBD28AF-CC08-C44C-84D1-6940CEA058A9}" name="UNITS PER PACK" dataDxfId="27"/>
    <tableColumn id="9" xr3:uid="{E30A038C-4B9C-1F45-BD6A-A2D54F68E3F9}" name="RETAIL PRICE(JPY)" dataDxfId="26"/>
    <tableColumn id="10" xr3:uid="{5030CE7B-F1F0-7545-ACB4-ED0E577CAB17}" name="WHSL PRICE(JPY)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A4908-37A1-BF4F-BC1A-50BE8F807D93}" name="カラーマスタ" displayName="カラーマスタ" ref="B2:L42" totalsRowShown="0" headerRowDxfId="24" dataDxfId="23" tableBorderDxfId="22">
  <tableColumns count="11">
    <tableColumn id="1" xr3:uid="{0C8898BA-99B7-E04B-9770-BB3111D7DF0D}" name="行" dataDxfId="21"/>
    <tableColumn id="6" xr3:uid="{B7C751BA-873F-FA4E-BE0A-1C1C99802FA2}" name="名称" dataDxfId="20"/>
    <tableColumn id="11" xr3:uid="{4DDCCB3B-8787-B04B-B6CD-77397408B266}" name="code" dataDxfId="19"/>
    <tableColumn id="3" xr3:uid="{88A52F6B-E8A0-9942-A61C-F1A5B6579F16}" name="Pantone" dataDxfId="18"/>
    <tableColumn id="4" xr3:uid="{470F5532-2D45-8148-AC0F-1D17AD8BEA40}" name="パントーン名称" dataDxfId="17"/>
    <tableColumn id="5" xr3:uid="{8995358F-6E86-1741-BFAC-1B3995063C43}" name="カラーナンバー" dataDxfId="16"/>
    <tableColumn id="7" xr3:uid="{759BCEB3-8507-C540-915F-093EF638D19B}" name="カラー展開（ＮＯ．）" dataDxfId="15"/>
    <tableColumn id="8" xr3:uid="{1B4B9975-6C9B-4F44-B7ED-484F99CE61F6}" name="刺繍糸パールヨット" dataDxfId="14"/>
    <tableColumn id="9" xr3:uid="{F7A22013-1695-1B40-9072-779FF7C8FCD8}" name="ファスナーテープ" dataDxfId="13"/>
    <tableColumn id="10" xr3:uid="{8FCDA8AF-0B3F-0F4D-B17A-A5AC2CC736A5}" name="パイピング新道（P-002）" dataDxfId="12"/>
    <tableColumn id="2" xr3:uid="{4DC6D2D0-702F-6340-B85C-C0318D06281B}" name="Name" dataDxfId="1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4BF28-F56E-2240-958C-9D72C818323E}" name="テーブル3" displayName="テーブル3" ref="B2:E10" totalsRowShown="0" headerRowDxfId="10" dataDxfId="8" headerRowBorderDxfId="9" tableBorderDxfId="7">
  <autoFilter ref="B2:E10" xr:uid="{8904BF28-F56E-2240-958C-9D72C818323E}"/>
  <tableColumns count="4">
    <tableColumn id="1" xr3:uid="{0D387879-35B5-D84E-8413-744077CEB21C}" name="シーズン" dataDxfId="6"/>
    <tableColumn id="2" xr3:uid="{80C94344-062C-5B42-8649-3209CF209C39}" name="デリバリー区分" dataDxfId="5"/>
    <tableColumn id="3" xr3:uid="{299F0814-A926-2247-8DAC-88A4018F3734}" name="目安時期" dataDxfId="4"/>
    <tableColumn id="4" xr3:uid="{D49F442F-E1F3-4641-963D-B1A05FF79CE8}" name="アイテム例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0E32-2E3B-DA40-8351-7DC3A5FBFB8D}">
  <dimension ref="B2:BB41"/>
  <sheetViews>
    <sheetView showGridLines="0" workbookViewId="0">
      <pane xSplit="2" topLeftCell="C1" activePane="topRight" state="frozen"/>
      <selection pane="topRight" activeCell="I9" sqref="I9"/>
    </sheetView>
  </sheetViews>
  <sheetFormatPr baseColWidth="10" defaultColWidth="7.5703125" defaultRowHeight="16"/>
  <cols>
    <col min="1" max="1" width="10.28515625" style="24" bestFit="1" customWidth="1"/>
    <col min="2" max="2" width="14.5703125" style="24" bestFit="1" customWidth="1"/>
    <col min="3" max="4" width="29.42578125" style="24" bestFit="1" customWidth="1"/>
    <col min="5" max="5" width="7.7109375" style="24" bestFit="1" customWidth="1"/>
    <col min="6" max="6" width="15.5703125" style="24" bestFit="1" customWidth="1"/>
    <col min="7" max="7" width="4.85546875" style="24" bestFit="1" customWidth="1"/>
    <col min="8" max="8" width="4.28515625" style="24" bestFit="1" customWidth="1"/>
    <col min="9" max="9" width="15.5703125" style="24" bestFit="1" customWidth="1"/>
    <col min="10" max="10" width="4.28515625" style="24" bestFit="1" customWidth="1"/>
    <col min="11" max="11" width="39.7109375" style="24" bestFit="1" customWidth="1"/>
    <col min="12" max="13" width="4.28515625" style="24" bestFit="1" customWidth="1"/>
    <col min="14" max="14" width="8.5703125" style="24" bestFit="1" customWidth="1"/>
    <col min="15" max="15" width="6.42578125" style="24" bestFit="1" customWidth="1"/>
    <col min="16" max="16" width="7.7109375" style="24" bestFit="1" customWidth="1"/>
    <col min="17" max="17" width="6.42578125" style="24" bestFit="1" customWidth="1"/>
    <col min="18" max="18" width="11.85546875" style="24" bestFit="1" customWidth="1"/>
    <col min="19" max="19" width="21.42578125" style="24" bestFit="1" customWidth="1"/>
    <col min="20" max="20" width="4.28515625" style="24" bestFit="1" customWidth="1"/>
    <col min="21" max="21" width="14.140625" style="24" bestFit="1" customWidth="1"/>
    <col min="22" max="22" width="9.7109375" style="24" bestFit="1" customWidth="1"/>
    <col min="23" max="23" width="6.140625" style="24" bestFit="1" customWidth="1"/>
    <col min="24" max="24" width="6.42578125" style="24" bestFit="1" customWidth="1"/>
    <col min="25" max="26" width="4.28515625" style="24" bestFit="1" customWidth="1"/>
    <col min="27" max="27" width="4.85546875" style="24" bestFit="1" customWidth="1"/>
    <col min="28" max="28" width="8.85546875" style="24" bestFit="1" customWidth="1"/>
    <col min="29" max="29" width="4.28515625" style="24" bestFit="1" customWidth="1"/>
    <col min="30" max="30" width="15.5703125" style="24" bestFit="1" customWidth="1"/>
    <col min="31" max="31" width="32.42578125" style="24" bestFit="1" customWidth="1"/>
    <col min="32" max="32" width="9" style="24" bestFit="1" customWidth="1"/>
    <col min="33" max="33" width="15.5703125" style="24" bestFit="1" customWidth="1"/>
    <col min="34" max="34" width="12.42578125" style="24" bestFit="1" customWidth="1"/>
    <col min="35" max="35" width="15.5703125" style="24" bestFit="1" customWidth="1"/>
    <col min="36" max="36" width="54.140625" style="24" bestFit="1" customWidth="1"/>
    <col min="37" max="37" width="4.28515625" style="24" bestFit="1" customWidth="1"/>
    <col min="38" max="38" width="15.5703125" style="24" bestFit="1" customWidth="1"/>
    <col min="39" max="39" width="7.85546875" style="24" bestFit="1" customWidth="1"/>
    <col min="40" max="40" width="4.28515625" style="24" bestFit="1" customWidth="1"/>
    <col min="41" max="41" width="6.140625" style="24" bestFit="1" customWidth="1"/>
    <col min="42" max="42" width="4.28515625" style="24" bestFit="1" customWidth="1"/>
    <col min="43" max="43" width="41" style="24" bestFit="1" customWidth="1"/>
    <col min="44" max="44" width="4.28515625" style="24" bestFit="1" customWidth="1"/>
    <col min="45" max="45" width="32.7109375" style="24" bestFit="1" customWidth="1"/>
    <col min="46" max="46" width="4.28515625" style="24" bestFit="1" customWidth="1"/>
    <col min="47" max="47" width="36.42578125" style="24" bestFit="1" customWidth="1"/>
    <col min="48" max="48" width="25.5703125" style="24" bestFit="1" customWidth="1"/>
    <col min="49" max="49" width="26.5703125" style="24" bestFit="1" customWidth="1"/>
    <col min="50" max="50" width="31.42578125" style="24" bestFit="1" customWidth="1"/>
    <col min="51" max="52" width="29.42578125" style="24" bestFit="1" customWidth="1"/>
    <col min="53" max="53" width="7.7109375" style="24" bestFit="1" customWidth="1"/>
    <col min="54" max="54" width="4.28515625" style="24" bestFit="1" customWidth="1"/>
    <col min="55" max="16384" width="7.5703125" style="24"/>
  </cols>
  <sheetData>
    <row r="2" spans="2:54">
      <c r="B2" s="24" t="s">
        <v>225</v>
      </c>
    </row>
    <row r="5" spans="2:54" s="25" customFormat="1" ht="25" customHeight="1">
      <c r="B5" s="95" t="s">
        <v>224</v>
      </c>
      <c r="C5" s="102">
        <v>2025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3">
        <v>2026</v>
      </c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4"/>
    </row>
    <row r="6" spans="2:54" s="25" customFormat="1" ht="25" customHeight="1">
      <c r="B6" s="93" t="s">
        <v>223</v>
      </c>
      <c r="C6" s="94" t="s">
        <v>222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37"/>
      <c r="X6" s="37"/>
      <c r="Y6" s="37"/>
      <c r="Z6" s="37"/>
      <c r="AA6" s="37"/>
      <c r="AB6" s="37"/>
      <c r="AC6" s="37"/>
      <c r="AD6" s="36" t="s">
        <v>221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8" t="s">
        <v>231</v>
      </c>
      <c r="AZ6" s="38"/>
      <c r="BA6" s="38"/>
      <c r="BB6" s="38"/>
    </row>
    <row r="7" spans="2:54" s="25" customFormat="1" ht="25" customHeight="1">
      <c r="B7" s="29" t="s">
        <v>220</v>
      </c>
      <c r="C7" s="33">
        <v>45870</v>
      </c>
      <c r="D7" s="33"/>
      <c r="E7" s="33"/>
      <c r="F7" s="33"/>
      <c r="G7" s="35">
        <v>45901</v>
      </c>
      <c r="H7" s="35"/>
      <c r="I7" s="35"/>
      <c r="J7" s="35"/>
      <c r="K7" s="33">
        <v>45931</v>
      </c>
      <c r="L7" s="33"/>
      <c r="M7" s="33"/>
      <c r="N7" s="32"/>
      <c r="O7" s="35">
        <v>45962</v>
      </c>
      <c r="P7" s="35"/>
      <c r="Q7" s="34"/>
      <c r="R7" s="34"/>
      <c r="S7" s="33">
        <v>45992</v>
      </c>
      <c r="T7" s="32"/>
      <c r="U7" s="32"/>
      <c r="V7" s="32"/>
      <c r="W7" s="35">
        <v>46023</v>
      </c>
      <c r="X7" s="34"/>
      <c r="Y7" s="34"/>
      <c r="Z7" s="34"/>
      <c r="AA7" s="33">
        <v>46054</v>
      </c>
      <c r="AB7" s="32"/>
      <c r="AC7" s="32"/>
      <c r="AD7" s="32"/>
      <c r="AE7" s="35">
        <v>46082</v>
      </c>
      <c r="AF7" s="34"/>
      <c r="AG7" s="34"/>
      <c r="AH7" s="34"/>
      <c r="AI7" s="33">
        <v>46113</v>
      </c>
      <c r="AJ7" s="32"/>
      <c r="AK7" s="32"/>
      <c r="AL7" s="32"/>
      <c r="AM7" s="35">
        <v>46143</v>
      </c>
      <c r="AN7" s="34"/>
      <c r="AO7" s="34"/>
      <c r="AP7" s="34"/>
      <c r="AQ7" s="33">
        <v>46174</v>
      </c>
      <c r="AR7" s="32"/>
      <c r="AS7" s="32"/>
      <c r="AT7" s="32"/>
      <c r="AU7" s="35">
        <v>46204</v>
      </c>
      <c r="AV7" s="34"/>
      <c r="AW7" s="34"/>
      <c r="AX7" s="34"/>
      <c r="AY7" s="33">
        <v>46235</v>
      </c>
      <c r="AZ7" s="32"/>
      <c r="BA7" s="32"/>
      <c r="BB7" s="32"/>
    </row>
    <row r="8" spans="2:54" s="25" customFormat="1" ht="25" customHeight="1">
      <c r="B8" s="29" t="s">
        <v>226</v>
      </c>
      <c r="C8" s="45" t="s">
        <v>227</v>
      </c>
      <c r="D8" s="27"/>
      <c r="E8" s="27"/>
      <c r="F8" s="48" t="s">
        <v>228</v>
      </c>
      <c r="G8" s="39"/>
      <c r="H8" s="39"/>
      <c r="I8" s="49" t="s">
        <v>229</v>
      </c>
      <c r="J8" s="40"/>
      <c r="K8" s="49" t="s">
        <v>230</v>
      </c>
      <c r="L8" s="41"/>
      <c r="M8" s="41"/>
      <c r="N8" s="42"/>
      <c r="O8" s="40"/>
      <c r="P8" s="40"/>
      <c r="Q8" s="43"/>
      <c r="R8" s="43"/>
      <c r="S8" s="41"/>
      <c r="T8" s="42"/>
      <c r="U8" s="42"/>
      <c r="V8" s="42"/>
      <c r="W8" s="40"/>
      <c r="X8" s="43"/>
      <c r="Y8" s="43"/>
      <c r="Z8" s="43"/>
      <c r="AA8" s="41"/>
      <c r="AB8" s="42"/>
      <c r="AC8" s="42"/>
      <c r="AD8" s="50" t="s">
        <v>227</v>
      </c>
      <c r="AE8" s="40"/>
      <c r="AF8" s="43"/>
      <c r="AG8" s="50" t="s">
        <v>228</v>
      </c>
      <c r="AH8" s="43"/>
      <c r="AI8" s="49" t="s">
        <v>229</v>
      </c>
      <c r="AJ8" s="42"/>
      <c r="AK8" s="42"/>
      <c r="AL8" s="50" t="s">
        <v>230</v>
      </c>
      <c r="AM8" s="40"/>
      <c r="AN8" s="43"/>
      <c r="AO8" s="43"/>
      <c r="AP8" s="43"/>
      <c r="AQ8" s="41"/>
      <c r="AR8" s="42"/>
      <c r="AS8" s="42"/>
      <c r="AT8" s="42"/>
      <c r="AU8" s="40"/>
      <c r="AV8" s="43"/>
      <c r="AW8" s="43"/>
      <c r="AX8" s="43"/>
      <c r="AY8" s="48" t="s">
        <v>227</v>
      </c>
      <c r="AZ8" s="42"/>
      <c r="BA8" s="42"/>
      <c r="BB8" s="44"/>
    </row>
    <row r="9" spans="2:54" s="25" customFormat="1" ht="25" customHeight="1">
      <c r="B9" s="29" t="s">
        <v>219</v>
      </c>
      <c r="C9" s="45" t="s">
        <v>218</v>
      </c>
      <c r="D9" s="27" t="s">
        <v>217</v>
      </c>
      <c r="E9" s="27" t="s">
        <v>216</v>
      </c>
      <c r="F9" s="48" t="s">
        <v>215</v>
      </c>
      <c r="G9" s="30" t="s">
        <v>218</v>
      </c>
      <c r="H9" s="27" t="s">
        <v>217</v>
      </c>
      <c r="I9" s="48" t="s">
        <v>216</v>
      </c>
      <c r="J9" s="27" t="s">
        <v>215</v>
      </c>
      <c r="K9" s="48" t="s">
        <v>218</v>
      </c>
      <c r="L9" s="27" t="s">
        <v>217</v>
      </c>
      <c r="M9" s="27" t="s">
        <v>216</v>
      </c>
      <c r="N9" s="27" t="s">
        <v>215</v>
      </c>
      <c r="O9" s="27" t="s">
        <v>218</v>
      </c>
      <c r="P9" s="27" t="s">
        <v>217</v>
      </c>
      <c r="Q9" s="27" t="s">
        <v>216</v>
      </c>
      <c r="R9" s="27" t="s">
        <v>215</v>
      </c>
      <c r="S9" s="27" t="s">
        <v>218</v>
      </c>
      <c r="T9" s="27" t="s">
        <v>217</v>
      </c>
      <c r="U9" s="27" t="s">
        <v>216</v>
      </c>
      <c r="V9" s="27" t="s">
        <v>215</v>
      </c>
      <c r="W9" s="27" t="s">
        <v>218</v>
      </c>
      <c r="X9" s="27" t="s">
        <v>217</v>
      </c>
      <c r="Y9" s="27" t="s">
        <v>216</v>
      </c>
      <c r="Z9" s="27" t="s">
        <v>215</v>
      </c>
      <c r="AA9" s="27" t="s">
        <v>218</v>
      </c>
      <c r="AB9" s="27" t="s">
        <v>217</v>
      </c>
      <c r="AC9" s="27" t="s">
        <v>216</v>
      </c>
      <c r="AD9" s="48" t="s">
        <v>215</v>
      </c>
      <c r="AE9" s="27" t="s">
        <v>218</v>
      </c>
      <c r="AF9" s="27" t="s">
        <v>217</v>
      </c>
      <c r="AG9" s="48" t="s">
        <v>216</v>
      </c>
      <c r="AH9" s="27" t="s">
        <v>215</v>
      </c>
      <c r="AI9" s="48" t="s">
        <v>218</v>
      </c>
      <c r="AJ9" s="27" t="s">
        <v>217</v>
      </c>
      <c r="AK9" s="27" t="s">
        <v>216</v>
      </c>
      <c r="AL9" s="48" t="s">
        <v>215</v>
      </c>
      <c r="AM9" s="27" t="s">
        <v>218</v>
      </c>
      <c r="AN9" s="27" t="s">
        <v>217</v>
      </c>
      <c r="AO9" s="27" t="s">
        <v>216</v>
      </c>
      <c r="AP9" s="27" t="s">
        <v>215</v>
      </c>
      <c r="AQ9" s="27" t="s">
        <v>218</v>
      </c>
      <c r="AR9" s="27" t="s">
        <v>217</v>
      </c>
      <c r="AS9" s="27" t="s">
        <v>216</v>
      </c>
      <c r="AT9" s="27" t="s">
        <v>215</v>
      </c>
      <c r="AU9" s="27" t="s">
        <v>218</v>
      </c>
      <c r="AV9" s="27" t="s">
        <v>217</v>
      </c>
      <c r="AW9" s="27" t="s">
        <v>216</v>
      </c>
      <c r="AX9" s="27" t="s">
        <v>215</v>
      </c>
      <c r="AY9" s="48" t="s">
        <v>218</v>
      </c>
      <c r="AZ9" s="27" t="s">
        <v>217</v>
      </c>
      <c r="BA9" s="27" t="s">
        <v>216</v>
      </c>
      <c r="BB9" s="26" t="s">
        <v>215</v>
      </c>
    </row>
    <row r="10" spans="2:54" s="25" customFormat="1" ht="25" customHeight="1">
      <c r="B10" s="29" t="s">
        <v>214</v>
      </c>
      <c r="C10" s="46">
        <v>45870</v>
      </c>
      <c r="D10" s="29"/>
      <c r="E10" s="29"/>
      <c r="F10" s="46">
        <v>45894</v>
      </c>
      <c r="G10" s="31"/>
      <c r="H10" s="27"/>
      <c r="I10" s="46">
        <v>45915</v>
      </c>
      <c r="J10" s="27"/>
      <c r="K10" s="46">
        <v>45936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46">
        <v>46076</v>
      </c>
      <c r="AE10" s="27"/>
      <c r="AF10" s="27"/>
      <c r="AG10" s="46">
        <v>46097</v>
      </c>
      <c r="AH10" s="27"/>
      <c r="AI10" s="46">
        <v>46118</v>
      </c>
      <c r="AJ10" s="27"/>
      <c r="AK10" s="27"/>
      <c r="AL10" s="46">
        <v>46139</v>
      </c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48"/>
      <c r="AZ10" s="27"/>
      <c r="BA10" s="27"/>
      <c r="BB10" s="26"/>
    </row>
    <row r="11" spans="2:54" s="25" customFormat="1" ht="90" customHeight="1">
      <c r="B11" s="29" t="s">
        <v>213</v>
      </c>
      <c r="C11" s="47" t="s">
        <v>397</v>
      </c>
      <c r="D11" s="29"/>
      <c r="E11" s="29"/>
      <c r="F11" s="47" t="s">
        <v>398</v>
      </c>
      <c r="G11" s="28"/>
      <c r="H11" s="27"/>
      <c r="I11" s="47" t="s">
        <v>404</v>
      </c>
      <c r="J11" s="27"/>
      <c r="K11" s="47" t="s">
        <v>405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47" t="s">
        <v>232</v>
      </c>
      <c r="AE11" s="27"/>
      <c r="AF11" s="27"/>
      <c r="AG11" s="47" t="s">
        <v>232</v>
      </c>
      <c r="AH11" s="27"/>
      <c r="AI11" s="47" t="s">
        <v>232</v>
      </c>
      <c r="AJ11" s="27"/>
      <c r="AK11" s="27"/>
      <c r="AL11" s="47" t="s">
        <v>232</v>
      </c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48"/>
      <c r="AZ11" s="27"/>
      <c r="BA11" s="27"/>
      <c r="BB11" s="26"/>
    </row>
    <row r="12" spans="2:54" s="25" customFormat="1" ht="119">
      <c r="B12" s="29" t="s">
        <v>212</v>
      </c>
      <c r="C12" s="47" t="s">
        <v>395</v>
      </c>
      <c r="D12" s="29"/>
      <c r="E12" s="29"/>
      <c r="F12" s="45" t="s">
        <v>355</v>
      </c>
      <c r="G12" s="30"/>
      <c r="H12" s="27"/>
      <c r="I12" s="45" t="s">
        <v>354</v>
      </c>
      <c r="J12" s="27"/>
      <c r="K12" s="47" t="s">
        <v>396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45"/>
      <c r="AE12" s="27"/>
      <c r="AF12" s="27"/>
      <c r="AG12" s="45"/>
      <c r="AH12" s="27"/>
      <c r="AI12" s="45"/>
      <c r="AJ12" s="27"/>
      <c r="AK12" s="27"/>
      <c r="AL12" s="45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48"/>
      <c r="AZ12" s="27"/>
      <c r="BA12" s="27"/>
      <c r="BB12" s="26"/>
    </row>
    <row r="13" spans="2:54" s="25" customFormat="1" ht="25" customHeight="1">
      <c r="B13" s="29" t="s">
        <v>211</v>
      </c>
      <c r="C13" s="45"/>
      <c r="D13" s="29"/>
      <c r="E13" s="29"/>
      <c r="F13" s="45"/>
      <c r="G13" s="30"/>
      <c r="H13" s="27"/>
      <c r="I13" s="45"/>
      <c r="J13" s="27"/>
      <c r="K13" s="45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45"/>
      <c r="AE13" s="27"/>
      <c r="AF13" s="27"/>
      <c r="AG13" s="45"/>
      <c r="AH13" s="27"/>
      <c r="AI13" s="45"/>
      <c r="AJ13" s="27"/>
      <c r="AK13" s="27"/>
      <c r="AL13" s="45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48"/>
      <c r="AZ13" s="27"/>
      <c r="BA13" s="27"/>
      <c r="BB13" s="26"/>
    </row>
    <row r="14" spans="2:54" s="25" customFormat="1" ht="68">
      <c r="B14" s="110" t="s">
        <v>210</v>
      </c>
      <c r="C14" s="111" t="s">
        <v>233</v>
      </c>
      <c r="D14" s="110"/>
      <c r="E14" s="110"/>
      <c r="F14" s="111" t="s">
        <v>233</v>
      </c>
      <c r="G14" s="112"/>
      <c r="H14" s="100"/>
      <c r="I14" s="111" t="s">
        <v>233</v>
      </c>
      <c r="J14" s="100"/>
      <c r="K14" s="111" t="s">
        <v>233</v>
      </c>
      <c r="L14" s="100"/>
      <c r="M14" s="100"/>
      <c r="N14" s="100"/>
      <c r="O14" s="100"/>
      <c r="P14" s="100"/>
      <c r="Q14" s="100"/>
      <c r="R14" s="100"/>
      <c r="S14" s="112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11" t="s">
        <v>233</v>
      </c>
      <c r="AE14" s="100"/>
      <c r="AF14" s="100"/>
      <c r="AG14" s="111" t="s">
        <v>233</v>
      </c>
      <c r="AH14" s="100"/>
      <c r="AI14" s="111" t="s">
        <v>233</v>
      </c>
      <c r="AJ14" s="100"/>
      <c r="AK14" s="100"/>
      <c r="AL14" s="111" t="s">
        <v>233</v>
      </c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13"/>
      <c r="AZ14" s="100"/>
      <c r="BA14" s="100"/>
      <c r="BB14" s="101"/>
    </row>
    <row r="15" spans="2:54" s="25" customFormat="1">
      <c r="C15" s="117"/>
      <c r="F15" s="117"/>
      <c r="G15" s="117"/>
      <c r="I15" s="117"/>
      <c r="K15" s="117"/>
      <c r="S15" s="117"/>
      <c r="AD15" s="117"/>
      <c r="AG15" s="117"/>
      <c r="AI15" s="117"/>
      <c r="AL15" s="117"/>
    </row>
    <row r="16" spans="2:54" s="25" customFormat="1" ht="25" customHeight="1">
      <c r="B16" s="25" t="s">
        <v>293</v>
      </c>
    </row>
    <row r="17" spans="2:54" s="107" customFormat="1" ht="25" customHeight="1">
      <c r="B17" s="29" t="s">
        <v>356</v>
      </c>
      <c r="C17" s="123" t="s">
        <v>349</v>
      </c>
      <c r="D17" s="123"/>
      <c r="E17" s="123"/>
      <c r="F17" s="123"/>
      <c r="G17" s="123"/>
      <c r="H17" s="123"/>
      <c r="I17" s="124" t="s">
        <v>350</v>
      </c>
      <c r="J17" s="123"/>
      <c r="K17" s="123"/>
      <c r="L17" s="123"/>
      <c r="M17" s="123"/>
      <c r="N17" s="123"/>
      <c r="O17" s="123"/>
      <c r="P17" s="124" t="s">
        <v>351</v>
      </c>
      <c r="Q17" s="123"/>
      <c r="R17" s="124" t="s">
        <v>352</v>
      </c>
      <c r="S17" s="123"/>
      <c r="T17" s="123"/>
      <c r="U17" s="124" t="s">
        <v>353</v>
      </c>
      <c r="V17" s="124" t="s">
        <v>343</v>
      </c>
      <c r="W17" s="123"/>
      <c r="X17" s="123"/>
      <c r="Y17" s="123"/>
      <c r="Z17" s="123"/>
      <c r="AA17" s="123"/>
      <c r="AB17" s="124" t="s">
        <v>309</v>
      </c>
      <c r="AC17" s="123"/>
      <c r="AD17" s="123"/>
      <c r="AE17" s="123"/>
      <c r="AF17" s="124" t="s">
        <v>344</v>
      </c>
      <c r="AG17" s="123"/>
      <c r="AH17" s="124" t="s">
        <v>345</v>
      </c>
      <c r="AI17" s="123"/>
      <c r="AJ17" s="123"/>
      <c r="AK17" s="123"/>
      <c r="AL17" s="124" t="s">
        <v>346</v>
      </c>
      <c r="AM17" s="123"/>
      <c r="AN17" s="123"/>
      <c r="AO17" s="123"/>
      <c r="AP17" s="123"/>
      <c r="AQ17" s="124" t="s">
        <v>347</v>
      </c>
      <c r="AR17" s="123"/>
      <c r="AS17" s="123"/>
      <c r="AT17" s="123"/>
      <c r="AU17" s="124" t="s">
        <v>348</v>
      </c>
      <c r="AV17" s="123"/>
      <c r="AW17" s="123"/>
      <c r="AX17" s="123"/>
      <c r="AY17" s="123"/>
      <c r="AZ17" s="123"/>
      <c r="BA17" s="123"/>
      <c r="BB17" s="123"/>
    </row>
    <row r="18" spans="2:54" s="25" customFormat="1" ht="25" customHeight="1">
      <c r="B18" s="95" t="s">
        <v>294</v>
      </c>
      <c r="C18" s="114" t="s">
        <v>297</v>
      </c>
      <c r="D18" s="114"/>
      <c r="E18" s="114"/>
      <c r="F18" s="114"/>
      <c r="G18" s="114"/>
      <c r="H18" s="114"/>
      <c r="I18" s="114"/>
      <c r="J18" s="114"/>
      <c r="K18" s="115" t="s">
        <v>298</v>
      </c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4" t="s">
        <v>299</v>
      </c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5" t="s">
        <v>300</v>
      </c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4" t="s">
        <v>301</v>
      </c>
      <c r="AV18" s="114"/>
      <c r="AW18" s="114"/>
      <c r="AX18" s="114"/>
      <c r="AY18" s="114"/>
      <c r="AZ18" s="114"/>
      <c r="BA18" s="114"/>
      <c r="BB18" s="116"/>
    </row>
    <row r="19" spans="2:54" s="80" customFormat="1" ht="25" customHeight="1">
      <c r="B19" s="98"/>
      <c r="C19" s="42"/>
      <c r="D19" s="42"/>
      <c r="E19" s="42"/>
      <c r="F19" s="42"/>
      <c r="G19" s="96" t="s">
        <v>302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97" t="s">
        <v>303</v>
      </c>
      <c r="AJ19" s="97"/>
      <c r="AK19" s="97"/>
      <c r="AL19" s="97"/>
      <c r="AM19" s="96" t="s">
        <v>304</v>
      </c>
      <c r="AN19" s="96"/>
      <c r="AO19" s="96"/>
      <c r="AP19" s="96"/>
      <c r="AQ19" s="97" t="s">
        <v>305</v>
      </c>
      <c r="AR19" s="97"/>
      <c r="AS19" s="97"/>
      <c r="AT19" s="97"/>
      <c r="AU19" s="42"/>
      <c r="AV19" s="42"/>
      <c r="AW19" s="42"/>
      <c r="AX19" s="42"/>
      <c r="AY19" s="42"/>
      <c r="AZ19" s="42"/>
      <c r="BA19" s="42"/>
      <c r="BB19" s="44"/>
    </row>
    <row r="20" spans="2:54" s="25" customFormat="1" ht="25" customHeight="1">
      <c r="B20" s="30" t="s">
        <v>295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6"/>
    </row>
    <row r="21" spans="2:54" s="107" customFormat="1" ht="25" customHeight="1">
      <c r="B21" s="30" t="s">
        <v>327</v>
      </c>
      <c r="C21" s="105" t="s">
        <v>319</v>
      </c>
      <c r="D21" s="105"/>
      <c r="E21" s="105" t="s">
        <v>320</v>
      </c>
      <c r="F21" s="105"/>
      <c r="G21" s="105" t="s">
        <v>321</v>
      </c>
      <c r="H21" s="105"/>
      <c r="I21" s="105" t="s">
        <v>322</v>
      </c>
      <c r="J21" s="105"/>
      <c r="K21" s="105"/>
      <c r="L21" s="105"/>
      <c r="M21" s="105"/>
      <c r="N21" s="105" t="s">
        <v>323</v>
      </c>
      <c r="O21" s="105" t="s">
        <v>324</v>
      </c>
      <c r="P21" s="105"/>
      <c r="Q21" s="105" t="s">
        <v>325</v>
      </c>
      <c r="R21" s="105"/>
      <c r="S21" s="105"/>
      <c r="T21" s="105"/>
      <c r="U21" s="105" t="s">
        <v>326</v>
      </c>
      <c r="V21" s="105"/>
      <c r="W21" s="105" t="s">
        <v>306</v>
      </c>
      <c r="X21" s="105" t="s">
        <v>307</v>
      </c>
      <c r="Y21" s="105"/>
      <c r="Z21" s="105"/>
      <c r="AA21" s="105" t="s">
        <v>308</v>
      </c>
      <c r="AB21" s="105" t="s">
        <v>309</v>
      </c>
      <c r="AC21" s="105"/>
      <c r="AD21" s="105"/>
      <c r="AE21" s="105" t="s">
        <v>310</v>
      </c>
      <c r="AF21" s="105" t="s">
        <v>344</v>
      </c>
      <c r="AG21" s="105" t="s">
        <v>311</v>
      </c>
      <c r="AH21" s="105"/>
      <c r="AI21" s="105" t="s">
        <v>312</v>
      </c>
      <c r="AJ21" s="105" t="s">
        <v>313</v>
      </c>
      <c r="AK21" s="105"/>
      <c r="AL21" s="105" t="s">
        <v>314</v>
      </c>
      <c r="AM21" s="105" t="s">
        <v>315</v>
      </c>
      <c r="AN21" s="105"/>
      <c r="AO21" s="105" t="s">
        <v>316</v>
      </c>
      <c r="AP21" s="105"/>
      <c r="AQ21" s="105" t="s">
        <v>317</v>
      </c>
      <c r="AR21" s="105"/>
      <c r="AS21" s="105"/>
      <c r="AT21" s="105"/>
      <c r="AU21" s="105" t="s">
        <v>318</v>
      </c>
      <c r="AV21" s="105"/>
      <c r="AW21" s="105"/>
      <c r="AX21" s="105"/>
      <c r="AY21" s="105" t="s">
        <v>319</v>
      </c>
      <c r="AZ21" s="105"/>
      <c r="BA21" s="105" t="s">
        <v>320</v>
      </c>
      <c r="BB21" s="106"/>
    </row>
    <row r="22" spans="2:54" s="107" customFormat="1" ht="25" customHeight="1">
      <c r="B22" s="30" t="s">
        <v>399</v>
      </c>
      <c r="C22" s="105"/>
      <c r="D22" s="105"/>
      <c r="E22" s="105"/>
      <c r="F22" s="105"/>
      <c r="G22" s="141" t="s">
        <v>400</v>
      </c>
      <c r="H22" s="141"/>
      <c r="I22" s="141"/>
      <c r="J22" s="141"/>
      <c r="K22" s="142" t="s">
        <v>401</v>
      </c>
      <c r="L22" s="142"/>
      <c r="M22" s="142"/>
      <c r="N22" s="142"/>
      <c r="O22" s="141" t="s">
        <v>402</v>
      </c>
      <c r="P22" s="141"/>
      <c r="Q22" s="141"/>
      <c r="R22" s="141"/>
      <c r="S22" s="141"/>
      <c r="T22" s="141" t="s">
        <v>400</v>
      </c>
      <c r="U22" s="141"/>
      <c r="V22" s="141"/>
      <c r="W22" s="141"/>
      <c r="X22" s="105"/>
      <c r="Y22" s="105"/>
      <c r="Z22" s="105"/>
      <c r="AA22" s="105"/>
      <c r="AB22" s="105"/>
      <c r="AC22" s="105"/>
      <c r="AD22" s="105"/>
      <c r="AE22" s="141" t="s">
        <v>400</v>
      </c>
      <c r="AF22" s="141"/>
      <c r="AG22" s="141"/>
      <c r="AH22" s="105"/>
      <c r="AI22" s="105"/>
      <c r="AJ22" s="105"/>
      <c r="AK22" s="105"/>
      <c r="AL22" s="105"/>
      <c r="AM22" s="105"/>
      <c r="AN22" s="105"/>
      <c r="AO22" s="105"/>
      <c r="AP22" s="105"/>
      <c r="AQ22" s="141" t="s">
        <v>400</v>
      </c>
      <c r="AR22" s="141"/>
      <c r="AS22" s="141"/>
      <c r="AT22" s="141"/>
      <c r="AU22" s="142" t="s">
        <v>403</v>
      </c>
      <c r="AV22" s="142"/>
      <c r="AW22" s="142"/>
      <c r="AX22" s="142"/>
      <c r="AY22" s="142"/>
      <c r="AZ22" s="105"/>
      <c r="BA22" s="105"/>
      <c r="BB22" s="106"/>
    </row>
    <row r="23" spans="2:54" s="107" customFormat="1" ht="25" customHeight="1">
      <c r="B23" s="30" t="s">
        <v>296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6"/>
    </row>
    <row r="24" spans="2:54" s="107" customFormat="1" ht="25" customHeight="1">
      <c r="B24" s="30" t="s">
        <v>328</v>
      </c>
      <c r="C24" t="s">
        <v>339</v>
      </c>
      <c r="D24" t="s">
        <v>340</v>
      </c>
      <c r="E24" s="105"/>
      <c r="F24" s="106"/>
      <c r="G24" s="105"/>
      <c r="H24" s="105"/>
      <c r="I24" s="105"/>
      <c r="J24" s="105"/>
      <c r="K24" t="s">
        <v>341</v>
      </c>
      <c r="L24" s="105"/>
      <c r="M24" s="105"/>
      <c r="N24" s="105"/>
      <c r="O24" s="105"/>
      <c r="P24" s="105"/>
      <c r="Q24" s="105"/>
      <c r="R24" s="105"/>
      <c r="S24" t="s">
        <v>342</v>
      </c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t="s">
        <v>331</v>
      </c>
      <c r="AF24" s="105"/>
      <c r="AG24" s="105"/>
      <c r="AH24" s="105"/>
      <c r="AI24" s="105"/>
      <c r="AJ24" t="s">
        <v>332</v>
      </c>
      <c r="AK24" s="105"/>
      <c r="AL24" s="105"/>
      <c r="AM24" s="105"/>
      <c r="AN24" s="105"/>
      <c r="AO24" s="105"/>
      <c r="AP24" s="105"/>
      <c r="AQ24" t="s">
        <v>333</v>
      </c>
      <c r="AR24" s="105"/>
      <c r="AS24" t="s">
        <v>334</v>
      </c>
      <c r="AT24" s="105"/>
      <c r="AU24" t="s">
        <v>335</v>
      </c>
      <c r="AV24" t="s">
        <v>336</v>
      </c>
      <c r="AW24" t="s">
        <v>337</v>
      </c>
      <c r="AX24" t="s">
        <v>338</v>
      </c>
      <c r="AY24" t="s">
        <v>339</v>
      </c>
      <c r="AZ24" t="s">
        <v>340</v>
      </c>
      <c r="BA24" s="105"/>
      <c r="BB24" s="106"/>
    </row>
    <row r="25" spans="2:54" s="107" customFormat="1" ht="25" customHeight="1">
      <c r="B25" s="30" t="s">
        <v>330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6"/>
    </row>
    <row r="26" spans="2:54" s="107" customFormat="1" ht="25" customHeight="1">
      <c r="B26" s="99" t="s">
        <v>329</v>
      </c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9"/>
    </row>
    <row r="27" spans="2:54" s="25" customFormat="1" ht="25" customHeight="1"/>
    <row r="28" spans="2:54" s="25" customFormat="1" ht="25" customHeight="1"/>
    <row r="29" spans="2:54" s="25" customFormat="1" ht="25" customHeight="1"/>
    <row r="30" spans="2:54" s="25" customFormat="1" ht="25" customHeight="1"/>
    <row r="31" spans="2:54" s="25" customFormat="1" ht="25" customHeight="1"/>
    <row r="32" spans="2:54" s="25" customFormat="1" ht="25" customHeight="1"/>
    <row r="33" s="25" customFormat="1" ht="25" customHeight="1"/>
    <row r="34" s="25" customFormat="1" ht="25" customHeight="1"/>
    <row r="35" s="25" customFormat="1" ht="25" customHeight="1"/>
    <row r="36" s="25" customFormat="1" ht="25" customHeight="1"/>
    <row r="37" s="25" customFormat="1" ht="25" customHeight="1"/>
    <row r="38" s="25" customFormat="1" ht="25" customHeight="1"/>
    <row r="39" s="25" customFormat="1" ht="25" customHeight="1"/>
    <row r="40" s="25" customFormat="1" ht="25" customHeight="1"/>
    <row r="41" s="25" customFormat="1" ht="25" customHeight="1"/>
  </sheetData>
  <phoneticPr fontId="3"/>
  <pageMargins left="0.7" right="0.7" top="0.75" bottom="0.75" header="0.3" footer="0.3"/>
  <pageSetup paperSize="256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7CC9-DBAE-6742-8ADF-FCED252AB0B0}">
  <dimension ref="B1:H52"/>
  <sheetViews>
    <sheetView showGridLines="0" tabSelected="1" zoomScaleNormal="100" workbookViewId="0">
      <pane xSplit="3" topLeftCell="D1" activePane="topRight" state="frozen"/>
      <selection activeCell="A2" sqref="A2"/>
      <selection pane="topRight" activeCell="D16" sqref="D16"/>
    </sheetView>
  </sheetViews>
  <sheetFormatPr baseColWidth="10" defaultColWidth="7.5703125" defaultRowHeight="16"/>
  <cols>
    <col min="1" max="2" width="7.5703125" style="24"/>
    <col min="3" max="3" width="30.85546875" style="24" bestFit="1" customWidth="1"/>
    <col min="4" max="4" width="15.85546875" style="265" customWidth="1"/>
    <col min="5" max="5" width="9.42578125" style="265" bestFit="1" customWidth="1"/>
    <col min="6" max="6" width="12.7109375" style="265" bestFit="1" customWidth="1"/>
    <col min="7" max="7" width="8" style="265" bestFit="1" customWidth="1"/>
    <col min="8" max="8" width="7" style="265" bestFit="1" customWidth="1"/>
    <col min="9" max="16384" width="7.5703125" style="24"/>
  </cols>
  <sheetData>
    <row r="1" spans="2:8" s="25" customFormat="1" ht="25" customHeight="1">
      <c r="D1" s="264"/>
      <c r="E1" s="264"/>
      <c r="F1" s="264"/>
      <c r="G1" s="264"/>
      <c r="H1" s="264"/>
    </row>
    <row r="2" spans="2:8" s="25" customFormat="1" ht="50" customHeight="1">
      <c r="C2" s="266" t="s">
        <v>237</v>
      </c>
      <c r="D2" s="267"/>
      <c r="E2" s="267"/>
      <c r="F2" s="267"/>
      <c r="G2" s="267"/>
      <c r="H2" s="267"/>
    </row>
    <row r="3" spans="2:8" s="25" customFormat="1" ht="25" customHeight="1">
      <c r="B3" s="29" t="s">
        <v>235</v>
      </c>
      <c r="C3" s="29"/>
      <c r="D3" s="268">
        <v>2026</v>
      </c>
      <c r="E3" s="268">
        <v>2027</v>
      </c>
      <c r="F3" s="268">
        <v>2028</v>
      </c>
      <c r="G3" s="268">
        <v>2029</v>
      </c>
      <c r="H3" s="268">
        <v>2030</v>
      </c>
    </row>
    <row r="4" spans="2:8" s="25" customFormat="1" ht="25" customHeight="1">
      <c r="B4" s="29" t="s">
        <v>286</v>
      </c>
      <c r="C4" s="29"/>
      <c r="D4" s="268">
        <v>1</v>
      </c>
      <c r="E4" s="268">
        <v>2</v>
      </c>
      <c r="F4" s="268">
        <v>3</v>
      </c>
      <c r="G4" s="268">
        <v>4</v>
      </c>
      <c r="H4" s="268">
        <v>5</v>
      </c>
    </row>
    <row r="5" spans="2:8" s="25" customFormat="1" ht="25" customHeight="1">
      <c r="B5" s="269" t="s">
        <v>669</v>
      </c>
      <c r="C5" s="269"/>
      <c r="D5" s="270">
        <v>0</v>
      </c>
      <c r="E5" s="270">
        <f>E6*E7</f>
        <v>50</v>
      </c>
      <c r="F5" s="270">
        <f t="shared" ref="F5:H5" si="0">F6*F7</f>
        <v>200</v>
      </c>
      <c r="G5" s="270">
        <f t="shared" si="0"/>
        <v>600</v>
      </c>
      <c r="H5" s="270">
        <f t="shared" si="0"/>
        <v>1500</v>
      </c>
    </row>
    <row r="6" spans="2:8" s="25" customFormat="1" ht="25" customHeight="1">
      <c r="B6" s="269"/>
      <c r="C6" s="269" t="s">
        <v>2</v>
      </c>
      <c r="D6" s="270">
        <v>0</v>
      </c>
      <c r="E6" s="270">
        <v>0.5</v>
      </c>
      <c r="F6" s="270">
        <v>0.5</v>
      </c>
      <c r="G6" s="270">
        <v>0.5</v>
      </c>
      <c r="H6" s="270">
        <v>0.5</v>
      </c>
    </row>
    <row r="7" spans="2:8" s="25" customFormat="1" ht="25" customHeight="1">
      <c r="B7" s="269"/>
      <c r="C7" s="269" t="s">
        <v>670</v>
      </c>
      <c r="D7" s="270">
        <v>0</v>
      </c>
      <c r="E7" s="270">
        <v>100</v>
      </c>
      <c r="F7" s="270">
        <f>E7*F8</f>
        <v>400</v>
      </c>
      <c r="G7" s="270">
        <f t="shared" ref="G7:H7" si="1">F7*G8</f>
        <v>1200</v>
      </c>
      <c r="H7" s="270">
        <f t="shared" si="1"/>
        <v>3000</v>
      </c>
    </row>
    <row r="8" spans="2:8" s="25" customFormat="1" ht="25" customHeight="1">
      <c r="B8" s="269"/>
      <c r="C8" s="269" t="s">
        <v>280</v>
      </c>
      <c r="D8" s="270"/>
      <c r="E8" s="273">
        <v>1</v>
      </c>
      <c r="F8" s="273">
        <v>4</v>
      </c>
      <c r="G8" s="273">
        <v>3</v>
      </c>
      <c r="H8" s="273">
        <v>2.5</v>
      </c>
    </row>
    <row r="9" spans="2:8" s="25" customFormat="1" ht="25" customHeight="1">
      <c r="B9" s="269" t="s">
        <v>664</v>
      </c>
      <c r="C9" s="277"/>
      <c r="D9" s="270">
        <v>0</v>
      </c>
      <c r="E9" s="270">
        <f>E10*E11</f>
        <v>20</v>
      </c>
      <c r="F9" s="270">
        <f t="shared" ref="F9" si="2">F10*F11</f>
        <v>53.333333333333343</v>
      </c>
      <c r="G9" s="270">
        <f t="shared" ref="G9" si="3">G10*G11</f>
        <v>150</v>
      </c>
      <c r="H9" s="270">
        <f t="shared" ref="H9" si="4">H10*H11</f>
        <v>375</v>
      </c>
    </row>
    <row r="10" spans="2:8" s="25" customFormat="1" ht="25" customHeight="1">
      <c r="B10" s="269"/>
      <c r="C10" s="277" t="s">
        <v>198</v>
      </c>
      <c r="D10" s="270">
        <v>0</v>
      </c>
      <c r="E10" s="270">
        <v>0.1</v>
      </c>
      <c r="F10" s="270">
        <v>0.1</v>
      </c>
      <c r="G10" s="270">
        <v>0.1</v>
      </c>
      <c r="H10" s="270">
        <v>0.1</v>
      </c>
    </row>
    <row r="11" spans="2:8" s="25" customFormat="1" ht="25" customHeight="1">
      <c r="B11" s="269"/>
      <c r="C11" s="277" t="s">
        <v>670</v>
      </c>
      <c r="D11" s="270">
        <v>0</v>
      </c>
      <c r="E11" s="271">
        <f>E7/E12</f>
        <v>200</v>
      </c>
      <c r="F11" s="271">
        <f>F7/F12</f>
        <v>533.33333333333337</v>
      </c>
      <c r="G11" s="271">
        <f t="shared" ref="G11:H11" si="5">G7/G12</f>
        <v>1500</v>
      </c>
      <c r="H11" s="271">
        <f t="shared" si="5"/>
        <v>3750</v>
      </c>
    </row>
    <row r="12" spans="2:8" s="25" customFormat="1" ht="25" customHeight="1">
      <c r="B12" s="269"/>
      <c r="C12" s="277" t="s">
        <v>273</v>
      </c>
      <c r="D12" s="270"/>
      <c r="E12" s="273">
        <v>0.5</v>
      </c>
      <c r="F12" s="273">
        <v>0.75</v>
      </c>
      <c r="G12" s="273">
        <v>0.8</v>
      </c>
      <c r="H12" s="273">
        <v>0.8</v>
      </c>
    </row>
    <row r="13" spans="2:8" s="25" customFormat="1" ht="25" customHeight="1">
      <c r="B13" s="269" t="s">
        <v>246</v>
      </c>
      <c r="C13" s="269"/>
      <c r="D13" s="270"/>
      <c r="E13" s="271">
        <f>E5-E9</f>
        <v>30</v>
      </c>
      <c r="F13" s="271">
        <f t="shared" ref="F13:H13" si="6">F5-F9</f>
        <v>146.66666666666666</v>
      </c>
      <c r="G13" s="271">
        <f t="shared" si="6"/>
        <v>450</v>
      </c>
      <c r="H13" s="271">
        <f t="shared" si="6"/>
        <v>1125</v>
      </c>
    </row>
    <row r="14" spans="2:8" s="25" customFormat="1" ht="25" customHeight="1">
      <c r="B14" s="269" t="s">
        <v>665</v>
      </c>
      <c r="C14" s="269"/>
      <c r="D14" s="270"/>
      <c r="E14" s="271"/>
      <c r="F14" s="272"/>
      <c r="G14" s="272"/>
      <c r="H14" s="272"/>
    </row>
    <row r="15" spans="2:8" s="25" customFormat="1" ht="25" customHeight="1">
      <c r="B15" s="269"/>
      <c r="C15" s="269" t="s">
        <v>671</v>
      </c>
      <c r="D15" s="270">
        <v>0</v>
      </c>
      <c r="E15" s="270">
        <v>0</v>
      </c>
      <c r="F15" s="270">
        <v>0</v>
      </c>
      <c r="G15" s="270">
        <v>0</v>
      </c>
      <c r="H15" s="270">
        <v>0</v>
      </c>
    </row>
    <row r="16" spans="2:8" s="25" customFormat="1" ht="25" customHeight="1">
      <c r="B16" s="269"/>
      <c r="C16" s="269" t="s">
        <v>672</v>
      </c>
      <c r="D16" s="270">
        <v>0</v>
      </c>
      <c r="E16" s="270">
        <v>0</v>
      </c>
      <c r="F16" s="270">
        <v>0</v>
      </c>
      <c r="G16" s="270">
        <v>0</v>
      </c>
      <c r="H16" s="270">
        <v>0</v>
      </c>
    </row>
    <row r="17" spans="2:8" s="25" customFormat="1" ht="25" customHeight="1">
      <c r="B17" s="269"/>
      <c r="C17" s="269" t="s">
        <v>673</v>
      </c>
      <c r="D17" s="270">
        <v>0</v>
      </c>
      <c r="E17" s="270">
        <v>0</v>
      </c>
      <c r="F17" s="270">
        <v>0</v>
      </c>
      <c r="G17" s="270">
        <v>0</v>
      </c>
      <c r="H17" s="270">
        <v>0</v>
      </c>
    </row>
    <row r="18" spans="2:8" s="25" customFormat="1" ht="25" customHeight="1">
      <c r="B18" s="269"/>
      <c r="C18" s="269" t="s">
        <v>674</v>
      </c>
      <c r="D18" s="270">
        <v>0</v>
      </c>
      <c r="E18" s="270">
        <v>0</v>
      </c>
      <c r="F18" s="270">
        <v>0</v>
      </c>
      <c r="G18" s="270">
        <v>0</v>
      </c>
      <c r="H18" s="270">
        <v>0</v>
      </c>
    </row>
    <row r="19" spans="2:8" s="25" customFormat="1" ht="25" customHeight="1">
      <c r="B19" s="269"/>
      <c r="C19" s="269" t="s">
        <v>675</v>
      </c>
      <c r="D19" s="270">
        <v>0</v>
      </c>
      <c r="E19" s="270">
        <v>0</v>
      </c>
      <c r="F19" s="270">
        <v>0</v>
      </c>
      <c r="G19" s="270">
        <v>0</v>
      </c>
      <c r="H19" s="270">
        <v>0</v>
      </c>
    </row>
    <row r="20" spans="2:8" s="25" customFormat="1" ht="25" customHeight="1">
      <c r="B20" s="269"/>
      <c r="C20" s="269" t="s">
        <v>676</v>
      </c>
      <c r="D20" s="270">
        <v>0</v>
      </c>
      <c r="E20" s="270">
        <v>0</v>
      </c>
      <c r="F20" s="270">
        <v>0</v>
      </c>
      <c r="G20" s="270">
        <v>0</v>
      </c>
      <c r="H20" s="270">
        <v>0</v>
      </c>
    </row>
    <row r="21" spans="2:8" s="25" customFormat="1" ht="25" customHeight="1">
      <c r="B21" s="269" t="s">
        <v>666</v>
      </c>
      <c r="C21" s="269"/>
      <c r="D21" s="270"/>
      <c r="E21" s="273"/>
      <c r="F21" s="273"/>
      <c r="G21" s="273"/>
      <c r="H21" s="273"/>
    </row>
    <row r="22" spans="2:8" s="25" customFormat="1" ht="25" customHeight="1">
      <c r="B22" s="269" t="s">
        <v>653</v>
      </c>
      <c r="C22" s="269"/>
      <c r="D22" s="270"/>
      <c r="E22" s="274"/>
      <c r="F22" s="274"/>
      <c r="G22" s="274"/>
      <c r="H22" s="274"/>
    </row>
    <row r="23" spans="2:8" s="25" customFormat="1" ht="25" customHeight="1">
      <c r="B23" s="269" t="s">
        <v>667</v>
      </c>
      <c r="C23" s="269"/>
      <c r="D23" s="272"/>
      <c r="E23" s="272"/>
      <c r="F23" s="272"/>
      <c r="G23" s="272"/>
      <c r="H23" s="272"/>
    </row>
    <row r="24" spans="2:8" s="25" customFormat="1" ht="25" customHeight="1">
      <c r="B24" s="269" t="s">
        <v>546</v>
      </c>
      <c r="C24" s="269"/>
      <c r="D24" s="270"/>
      <c r="E24" s="275"/>
      <c r="F24" s="275"/>
      <c r="G24" s="275"/>
      <c r="H24" s="275"/>
    </row>
    <row r="25" spans="2:8" s="25" customFormat="1" ht="25" customHeight="1">
      <c r="B25" s="269" t="s">
        <v>668</v>
      </c>
      <c r="C25" s="269"/>
      <c r="D25" s="276"/>
      <c r="E25" s="276"/>
      <c r="F25" s="276"/>
      <c r="G25" s="276"/>
      <c r="H25" s="276"/>
    </row>
    <row r="26" spans="2:8" s="25" customFormat="1" ht="25" customHeight="1">
      <c r="D26" s="264"/>
      <c r="E26" s="264"/>
      <c r="F26" s="264"/>
      <c r="G26" s="264"/>
      <c r="H26" s="264"/>
    </row>
    <row r="27" spans="2:8" s="25" customFormat="1" ht="25" customHeight="1">
      <c r="D27" s="264"/>
      <c r="E27" s="264"/>
      <c r="F27" s="264"/>
      <c r="G27" s="264"/>
      <c r="H27" s="264"/>
    </row>
    <row r="28" spans="2:8" s="25" customFormat="1" ht="25" customHeight="1">
      <c r="D28" s="264"/>
      <c r="E28" s="264"/>
      <c r="F28" s="264"/>
      <c r="G28" s="264"/>
      <c r="H28" s="264"/>
    </row>
    <row r="29" spans="2:8" s="25" customFormat="1" ht="25" customHeight="1">
      <c r="D29" s="264"/>
      <c r="E29" s="264"/>
      <c r="F29" s="264"/>
      <c r="G29" s="264"/>
      <c r="H29" s="264"/>
    </row>
    <row r="30" spans="2:8" s="25" customFormat="1" ht="25" customHeight="1">
      <c r="D30" s="264"/>
      <c r="E30" s="264"/>
      <c r="F30" s="264"/>
      <c r="G30" s="264"/>
      <c r="H30" s="264"/>
    </row>
    <row r="31" spans="2:8" s="25" customFormat="1" ht="25" customHeight="1">
      <c r="D31" s="264"/>
      <c r="E31" s="264"/>
      <c r="F31" s="264"/>
      <c r="G31" s="264"/>
      <c r="H31" s="264"/>
    </row>
    <row r="32" spans="2:8" s="25" customFormat="1" ht="25" customHeight="1">
      <c r="D32" s="264"/>
      <c r="E32" s="264"/>
      <c r="F32" s="264"/>
      <c r="G32" s="264"/>
      <c r="H32" s="264"/>
    </row>
    <row r="33" spans="4:8" s="25" customFormat="1" ht="25" customHeight="1">
      <c r="D33" s="264"/>
      <c r="E33" s="264"/>
      <c r="F33" s="264"/>
      <c r="G33" s="264"/>
      <c r="H33" s="264"/>
    </row>
    <row r="34" spans="4:8" s="25" customFormat="1" ht="25" customHeight="1">
      <c r="D34" s="264"/>
      <c r="E34" s="264"/>
      <c r="F34" s="264"/>
      <c r="G34" s="264"/>
      <c r="H34" s="264"/>
    </row>
    <row r="35" spans="4:8" s="25" customFormat="1" ht="25" customHeight="1">
      <c r="D35" s="264"/>
      <c r="E35" s="264"/>
      <c r="F35" s="264"/>
      <c r="G35" s="264"/>
      <c r="H35" s="264"/>
    </row>
    <row r="36" spans="4:8" s="25" customFormat="1" ht="25" customHeight="1">
      <c r="D36" s="264"/>
      <c r="E36" s="264"/>
      <c r="F36" s="264"/>
      <c r="G36" s="264"/>
      <c r="H36" s="264"/>
    </row>
    <row r="37" spans="4:8" s="25" customFormat="1" ht="25" customHeight="1">
      <c r="D37" s="264"/>
      <c r="E37" s="264"/>
      <c r="F37" s="264"/>
      <c r="G37" s="264"/>
      <c r="H37" s="264"/>
    </row>
    <row r="38" spans="4:8" s="25" customFormat="1" ht="25" customHeight="1">
      <c r="D38" s="264"/>
      <c r="E38" s="264"/>
      <c r="F38" s="264"/>
      <c r="G38" s="264"/>
      <c r="H38" s="264"/>
    </row>
    <row r="39" spans="4:8" s="25" customFormat="1" ht="25" customHeight="1">
      <c r="D39" s="264"/>
      <c r="E39" s="264"/>
      <c r="F39" s="264"/>
      <c r="G39" s="264"/>
      <c r="H39" s="264"/>
    </row>
    <row r="40" spans="4:8" s="25" customFormat="1" ht="25" customHeight="1">
      <c r="D40" s="264"/>
      <c r="E40" s="264"/>
      <c r="F40" s="264"/>
      <c r="G40" s="264"/>
      <c r="H40" s="264"/>
    </row>
    <row r="41" spans="4:8" s="25" customFormat="1" ht="25" customHeight="1">
      <c r="D41" s="264"/>
      <c r="E41" s="264"/>
      <c r="F41" s="264"/>
      <c r="G41" s="264"/>
      <c r="H41" s="264"/>
    </row>
    <row r="42" spans="4:8" s="25" customFormat="1" ht="25" customHeight="1">
      <c r="D42" s="264"/>
      <c r="E42" s="264"/>
      <c r="F42" s="264"/>
      <c r="G42" s="264"/>
      <c r="H42" s="264"/>
    </row>
    <row r="43" spans="4:8" s="25" customFormat="1" ht="25" customHeight="1">
      <c r="D43" s="264"/>
      <c r="E43" s="264"/>
      <c r="F43" s="264"/>
      <c r="G43" s="264"/>
      <c r="H43" s="264"/>
    </row>
    <row r="44" spans="4:8" s="25" customFormat="1" ht="25" customHeight="1">
      <c r="D44" s="264"/>
      <c r="E44" s="264"/>
      <c r="F44" s="264"/>
      <c r="G44" s="264"/>
      <c r="H44" s="264"/>
    </row>
    <row r="45" spans="4:8" s="25" customFormat="1" ht="25" customHeight="1">
      <c r="D45" s="264"/>
      <c r="E45" s="264"/>
      <c r="F45" s="264"/>
      <c r="G45" s="264"/>
      <c r="H45" s="264"/>
    </row>
    <row r="46" spans="4:8" s="25" customFormat="1" ht="25" customHeight="1">
      <c r="D46" s="264"/>
      <c r="E46" s="264"/>
      <c r="F46" s="264"/>
      <c r="G46" s="264"/>
      <c r="H46" s="264"/>
    </row>
    <row r="47" spans="4:8" s="25" customFormat="1" ht="25" customHeight="1">
      <c r="D47" s="264"/>
      <c r="E47" s="264"/>
      <c r="F47" s="264"/>
      <c r="G47" s="264"/>
      <c r="H47" s="264"/>
    </row>
    <row r="48" spans="4:8" s="25" customFormat="1" ht="25" customHeight="1">
      <c r="D48" s="264"/>
      <c r="E48" s="264"/>
      <c r="F48" s="264"/>
      <c r="G48" s="264"/>
      <c r="H48" s="264"/>
    </row>
    <row r="49" spans="4:8" s="25" customFormat="1" ht="25" customHeight="1">
      <c r="D49" s="264"/>
      <c r="E49" s="264"/>
      <c r="F49" s="264"/>
      <c r="G49" s="264"/>
      <c r="H49" s="264"/>
    </row>
    <row r="50" spans="4:8" s="25" customFormat="1" ht="25" customHeight="1">
      <c r="D50" s="264"/>
      <c r="E50" s="264"/>
      <c r="F50" s="264"/>
      <c r="G50" s="264"/>
      <c r="H50" s="264"/>
    </row>
    <row r="51" spans="4:8" s="25" customFormat="1" ht="25" customHeight="1">
      <c r="D51" s="264"/>
      <c r="E51" s="264"/>
      <c r="F51" s="264"/>
      <c r="G51" s="264"/>
      <c r="H51" s="264"/>
    </row>
    <row r="52" spans="4:8" s="25" customFormat="1" ht="25" customHeight="1">
      <c r="D52" s="264"/>
      <c r="E52" s="264"/>
      <c r="F52" s="264"/>
      <c r="G52" s="264"/>
      <c r="H52" s="264"/>
    </row>
  </sheetData>
  <phoneticPr fontId="3"/>
  <pageMargins left="0.7" right="0.7" top="0.75" bottom="0.75" header="0.3" footer="0.3"/>
  <pageSetup paperSize="256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87ED-4A89-AA4E-883A-80AACA5D467D}">
  <dimension ref="B1:AW138"/>
  <sheetViews>
    <sheetView showGridLines="0" topLeftCell="A68" zoomScaleNormal="100" workbookViewId="0">
      <pane xSplit="6" topLeftCell="G1" activePane="topRight" state="frozen"/>
      <selection activeCell="A2" sqref="A2"/>
      <selection pane="topRight" activeCell="D58" sqref="D58"/>
    </sheetView>
  </sheetViews>
  <sheetFormatPr baseColWidth="10" defaultColWidth="7.5703125" defaultRowHeight="16"/>
  <cols>
    <col min="1" max="1" width="7.5703125" style="24"/>
    <col min="2" max="2" width="23.42578125" style="24" bestFit="1" customWidth="1"/>
    <col min="3" max="3" width="17.140625" style="24" bestFit="1" customWidth="1"/>
    <col min="4" max="4" width="24.85546875" style="263" bestFit="1" customWidth="1"/>
    <col min="5" max="5" width="7.5703125" style="24"/>
    <col min="6" max="6" width="30.85546875" style="24" bestFit="1" customWidth="1"/>
    <col min="7" max="7" width="15.85546875" style="24" customWidth="1"/>
    <col min="8" max="8" width="9.42578125" style="24" bestFit="1" customWidth="1"/>
    <col min="9" max="10" width="8" style="24" bestFit="1" customWidth="1"/>
    <col min="11" max="13" width="7" style="24" bestFit="1" customWidth="1"/>
    <col min="14" max="20" width="7" style="24" customWidth="1"/>
    <col min="21" max="21" width="8" style="24" bestFit="1" customWidth="1"/>
    <col min="22" max="42" width="8" style="24" customWidth="1"/>
    <col min="43" max="43" width="18.140625" style="24" customWidth="1"/>
    <col min="44" max="44" width="20.42578125" style="24" bestFit="1" customWidth="1"/>
    <col min="45" max="45" width="14" style="24" bestFit="1" customWidth="1"/>
    <col min="46" max="46" width="15.140625" style="24" bestFit="1" customWidth="1"/>
    <col min="47" max="47" width="7.42578125" style="24" bestFit="1" customWidth="1"/>
    <col min="48" max="16384" width="7.5703125" style="24"/>
  </cols>
  <sheetData>
    <row r="1" spans="2:48" s="25" customFormat="1" ht="25" customHeight="1">
      <c r="D1" s="262"/>
    </row>
    <row r="2" spans="2:48" s="25" customFormat="1" ht="50" customHeight="1">
      <c r="D2" s="262"/>
      <c r="F2" s="89" t="s">
        <v>237</v>
      </c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 t="s">
        <v>236</v>
      </c>
      <c r="AR2" s="89"/>
      <c r="AS2" s="90"/>
      <c r="AT2" s="90"/>
    </row>
    <row r="3" spans="2:48" s="25" customFormat="1" ht="25" customHeight="1">
      <c r="D3" s="262"/>
      <c r="F3" s="81" t="s">
        <v>283</v>
      </c>
      <c r="G3" s="81" t="s">
        <v>461</v>
      </c>
      <c r="H3" s="81"/>
      <c r="I3" s="81"/>
      <c r="J3" s="81"/>
      <c r="K3" s="81"/>
      <c r="L3" s="81"/>
      <c r="M3" s="81"/>
      <c r="N3" s="149"/>
      <c r="O3" s="149"/>
      <c r="P3" s="149"/>
      <c r="Q3" s="149"/>
      <c r="R3" s="149"/>
      <c r="S3" s="149"/>
      <c r="T3" s="81"/>
      <c r="U3" s="81"/>
      <c r="V3" s="81"/>
      <c r="W3" s="210" t="s">
        <v>460</v>
      </c>
      <c r="X3" s="81"/>
      <c r="Y3" s="81"/>
      <c r="Z3" s="149"/>
      <c r="AA3" s="149"/>
      <c r="AB3" s="149"/>
      <c r="AC3" s="149"/>
      <c r="AD3" s="149"/>
      <c r="AE3" s="149"/>
      <c r="AF3" s="81"/>
      <c r="AG3" s="81"/>
      <c r="AH3" s="81"/>
      <c r="AI3" s="81"/>
      <c r="AJ3" s="81"/>
      <c r="AK3" s="81"/>
      <c r="AL3" s="149"/>
      <c r="AM3" s="149"/>
      <c r="AN3" s="149"/>
      <c r="AO3" s="149"/>
      <c r="AP3" s="81"/>
      <c r="AQ3" s="135" t="s">
        <v>394</v>
      </c>
      <c r="AR3" s="135"/>
      <c r="AS3" s="81"/>
      <c r="AT3" s="81"/>
    </row>
    <row r="4" spans="2:48" s="25" customFormat="1" ht="25" customHeight="1">
      <c r="D4" s="262"/>
      <c r="F4" s="81"/>
      <c r="G4" s="88" t="s">
        <v>459</v>
      </c>
      <c r="H4" s="81"/>
      <c r="I4" s="81"/>
      <c r="J4" s="81"/>
      <c r="K4" s="81"/>
      <c r="L4" s="81"/>
      <c r="M4" s="81"/>
      <c r="N4" s="149"/>
      <c r="O4" s="149"/>
      <c r="P4" s="149"/>
      <c r="Q4" s="149"/>
      <c r="R4" s="149"/>
      <c r="S4" s="149"/>
      <c r="T4" s="81"/>
      <c r="U4" s="81"/>
      <c r="V4" s="81"/>
      <c r="W4" s="81"/>
      <c r="X4" s="81"/>
      <c r="Y4" s="81"/>
      <c r="Z4" s="149"/>
      <c r="AA4" s="149"/>
      <c r="AB4" s="149"/>
      <c r="AC4" s="149"/>
      <c r="AD4" s="149"/>
      <c r="AE4" s="149"/>
      <c r="AF4" s="81"/>
      <c r="AG4" s="81"/>
      <c r="AH4" s="81"/>
      <c r="AI4" s="81"/>
      <c r="AJ4" s="81"/>
      <c r="AK4" s="81"/>
      <c r="AL4" s="149"/>
      <c r="AM4" s="149"/>
      <c r="AN4" s="149"/>
      <c r="AO4" s="149"/>
      <c r="AP4" s="81"/>
      <c r="AQ4" s="135"/>
      <c r="AR4" s="135"/>
      <c r="AS4" s="81"/>
      <c r="AT4" s="81"/>
    </row>
    <row r="5" spans="2:48" s="25" customFormat="1" ht="25" customHeight="1">
      <c r="D5" s="262"/>
      <c r="F5" s="81"/>
      <c r="G5" s="88" t="s">
        <v>458</v>
      </c>
      <c r="H5" s="81"/>
      <c r="I5" s="81"/>
      <c r="J5" s="81"/>
      <c r="K5" s="81"/>
      <c r="L5" s="81"/>
      <c r="M5" s="81"/>
      <c r="N5" s="149"/>
      <c r="O5" s="149"/>
      <c r="P5" s="149"/>
      <c r="Q5" s="149"/>
      <c r="R5" s="149"/>
      <c r="S5" s="149"/>
      <c r="T5" s="81"/>
      <c r="U5" s="81"/>
      <c r="V5" s="81"/>
      <c r="W5" s="81"/>
      <c r="X5" s="81"/>
      <c r="Y5" s="81"/>
      <c r="Z5" s="149"/>
      <c r="AA5" s="149"/>
      <c r="AB5" s="149"/>
      <c r="AC5" s="149"/>
      <c r="AD5" s="149"/>
      <c r="AE5" s="149"/>
      <c r="AF5" s="81"/>
      <c r="AG5" s="81"/>
      <c r="AH5" s="81"/>
      <c r="AI5" s="81"/>
      <c r="AJ5" s="81"/>
      <c r="AK5" s="81"/>
      <c r="AL5" s="149"/>
      <c r="AM5" s="149"/>
      <c r="AN5" s="149"/>
      <c r="AO5" s="149"/>
      <c r="AP5" s="81"/>
      <c r="AQ5" s="135"/>
      <c r="AR5" s="135"/>
      <c r="AS5" s="81"/>
      <c r="AT5" s="81"/>
    </row>
    <row r="6" spans="2:48" s="25" customFormat="1" ht="25" customHeight="1">
      <c r="D6" s="262"/>
      <c r="F6" s="81" t="s">
        <v>282</v>
      </c>
      <c r="G6" s="81"/>
      <c r="H6" s="81"/>
      <c r="I6" s="81"/>
      <c r="J6" s="81"/>
      <c r="K6" s="81"/>
      <c r="L6" s="81"/>
      <c r="M6" s="81"/>
      <c r="N6" s="149"/>
      <c r="O6" s="149"/>
      <c r="P6" s="149"/>
      <c r="Q6" s="149"/>
      <c r="R6" s="149"/>
      <c r="S6" s="149"/>
      <c r="T6" s="81"/>
      <c r="U6" s="81"/>
      <c r="V6" s="81"/>
      <c r="W6" s="81"/>
      <c r="X6" s="81"/>
      <c r="Y6" s="81"/>
      <c r="Z6" s="149"/>
      <c r="AA6" s="149"/>
      <c r="AB6" s="149"/>
      <c r="AC6" s="149"/>
      <c r="AD6" s="149"/>
      <c r="AE6" s="149"/>
      <c r="AF6" s="81"/>
      <c r="AG6" s="81"/>
      <c r="AH6" s="81"/>
      <c r="AI6" s="81"/>
      <c r="AJ6" s="81"/>
      <c r="AK6" s="81"/>
      <c r="AL6" s="149"/>
      <c r="AM6" s="149"/>
      <c r="AN6" s="149"/>
      <c r="AO6" s="149"/>
      <c r="AP6" s="81"/>
      <c r="AQ6" s="81"/>
      <c r="AR6" s="81"/>
      <c r="AS6" s="81"/>
      <c r="AT6" s="81"/>
    </row>
    <row r="7" spans="2:48" s="25" customFormat="1" ht="25" customHeight="1">
      <c r="D7" s="262"/>
      <c r="F7" s="81" t="s">
        <v>234</v>
      </c>
      <c r="G7" s="81" t="s">
        <v>457</v>
      </c>
      <c r="H7" s="81"/>
      <c r="I7" s="81"/>
      <c r="J7" s="81"/>
      <c r="K7" s="81"/>
      <c r="L7" s="81"/>
      <c r="M7" s="81"/>
      <c r="N7" s="149"/>
      <c r="O7" s="149"/>
      <c r="P7" s="149"/>
      <c r="Q7" s="149"/>
      <c r="R7" s="149"/>
      <c r="S7" s="149"/>
      <c r="T7" s="81"/>
      <c r="U7" s="81"/>
      <c r="V7" s="81"/>
      <c r="W7" s="81"/>
      <c r="X7" s="81"/>
      <c r="Y7" s="81"/>
      <c r="Z7" s="149"/>
      <c r="AA7" s="149"/>
      <c r="AB7" s="149"/>
      <c r="AC7" s="149"/>
      <c r="AD7" s="149"/>
      <c r="AE7" s="149"/>
      <c r="AF7" s="81"/>
      <c r="AG7" s="81"/>
      <c r="AH7" s="81"/>
      <c r="AI7" s="81"/>
      <c r="AJ7" s="81"/>
      <c r="AK7" s="81"/>
      <c r="AL7" s="149"/>
      <c r="AM7" s="149"/>
      <c r="AN7" s="149"/>
      <c r="AO7" s="149"/>
      <c r="AP7" s="81"/>
      <c r="AQ7" s="118"/>
      <c r="AR7" s="91"/>
      <c r="AS7" s="91"/>
      <c r="AT7" s="91"/>
    </row>
    <row r="8" spans="2:48" s="25" customFormat="1" ht="25" customHeight="1">
      <c r="D8" s="262"/>
      <c r="F8" s="81"/>
      <c r="G8" s="81" t="s">
        <v>456</v>
      </c>
      <c r="H8" s="81"/>
      <c r="I8" s="81"/>
      <c r="J8" s="81"/>
      <c r="K8" s="81"/>
      <c r="L8" s="81"/>
      <c r="M8" s="81"/>
      <c r="N8" s="149"/>
      <c r="O8" s="149"/>
      <c r="P8" s="149"/>
      <c r="Q8" s="149"/>
      <c r="R8" s="149"/>
      <c r="S8" s="149"/>
      <c r="T8" s="81"/>
      <c r="U8" s="81"/>
      <c r="V8" s="81"/>
      <c r="W8" s="81"/>
      <c r="X8" s="81"/>
      <c r="Y8" s="81"/>
      <c r="Z8" s="149"/>
      <c r="AA8" s="149"/>
      <c r="AB8" s="149"/>
      <c r="AC8" s="149"/>
      <c r="AD8" s="149"/>
      <c r="AE8" s="149"/>
      <c r="AF8" s="81"/>
      <c r="AG8" s="81"/>
      <c r="AH8" s="81"/>
      <c r="AI8" s="81"/>
      <c r="AJ8" s="81"/>
      <c r="AK8" s="81"/>
      <c r="AL8" s="149"/>
      <c r="AM8" s="149"/>
      <c r="AN8" s="149"/>
      <c r="AO8" s="149"/>
      <c r="AP8" s="81"/>
      <c r="AQ8" s="118"/>
      <c r="AR8" s="91"/>
      <c r="AS8" s="91"/>
      <c r="AT8" s="91"/>
    </row>
    <row r="9" spans="2:48" s="25" customFormat="1" ht="25" customHeight="1">
      <c r="D9" s="262"/>
      <c r="F9" s="81"/>
      <c r="G9" s="81" t="s">
        <v>455</v>
      </c>
      <c r="H9" s="81"/>
      <c r="I9" s="81"/>
      <c r="J9" s="81"/>
      <c r="K9" s="81"/>
      <c r="L9" s="81"/>
      <c r="M9" s="81"/>
      <c r="N9" s="149"/>
      <c r="O9" s="149"/>
      <c r="P9" s="149"/>
      <c r="Q9" s="149"/>
      <c r="R9" s="149"/>
      <c r="S9" s="149"/>
      <c r="T9" s="81"/>
      <c r="U9" s="81"/>
      <c r="V9" s="81"/>
      <c r="W9" s="81"/>
      <c r="X9" s="81"/>
      <c r="Y9" s="81"/>
      <c r="Z9" s="149"/>
      <c r="AA9" s="149"/>
      <c r="AB9" s="149"/>
      <c r="AC9" s="149"/>
      <c r="AD9" s="149"/>
      <c r="AE9" s="149"/>
      <c r="AF9" s="81"/>
      <c r="AG9" s="81"/>
      <c r="AH9" s="81"/>
      <c r="AI9" s="81"/>
      <c r="AJ9" s="81"/>
      <c r="AK9" s="81"/>
      <c r="AL9" s="149"/>
      <c r="AM9" s="149"/>
      <c r="AN9" s="149"/>
      <c r="AO9" s="149"/>
      <c r="AP9" s="81"/>
      <c r="AQ9" s="118"/>
      <c r="AR9" s="91"/>
      <c r="AS9" s="91"/>
      <c r="AT9" s="91"/>
    </row>
    <row r="10" spans="2:48" s="25" customFormat="1" ht="25" customHeight="1">
      <c r="D10" s="262"/>
      <c r="F10" s="81" t="s">
        <v>454</v>
      </c>
      <c r="G10" s="81" t="s">
        <v>453</v>
      </c>
      <c r="H10" s="81"/>
      <c r="I10" s="81"/>
      <c r="J10" s="81"/>
      <c r="K10" s="81"/>
      <c r="L10" s="81"/>
      <c r="M10" s="81"/>
      <c r="N10" s="149"/>
      <c r="O10" s="149"/>
      <c r="P10" s="149"/>
      <c r="Q10" s="149"/>
      <c r="R10" s="149"/>
      <c r="S10" s="149"/>
      <c r="T10" s="81"/>
      <c r="U10" s="81"/>
      <c r="V10" s="81"/>
      <c r="W10" s="81"/>
      <c r="X10" s="81"/>
      <c r="Y10" s="81"/>
      <c r="Z10" s="149"/>
      <c r="AA10" s="149"/>
      <c r="AB10" s="149"/>
      <c r="AC10" s="149"/>
      <c r="AD10" s="149"/>
      <c r="AE10" s="149"/>
      <c r="AF10" s="81"/>
      <c r="AG10" s="81"/>
      <c r="AH10" s="81"/>
      <c r="AI10" s="81"/>
      <c r="AJ10" s="81"/>
      <c r="AK10" s="81"/>
      <c r="AL10" s="149"/>
      <c r="AM10" s="149"/>
      <c r="AN10" s="149"/>
      <c r="AO10" s="149"/>
      <c r="AP10" s="81"/>
      <c r="AQ10" s="118"/>
      <c r="AR10" s="91"/>
      <c r="AS10" s="91"/>
      <c r="AT10" s="91"/>
    </row>
    <row r="11" spans="2:48" s="25" customFormat="1" ht="25" customHeight="1">
      <c r="D11" s="262"/>
      <c r="F11" s="81"/>
      <c r="G11" s="81"/>
      <c r="H11" s="81" t="s">
        <v>463</v>
      </c>
      <c r="I11" s="81" t="s">
        <v>229</v>
      </c>
      <c r="J11" s="81" t="s">
        <v>230</v>
      </c>
      <c r="K11" s="81"/>
      <c r="L11" s="81"/>
      <c r="M11" s="81"/>
      <c r="N11" s="149"/>
      <c r="O11" s="149"/>
      <c r="P11" s="149"/>
      <c r="Q11" s="149"/>
      <c r="R11" s="149"/>
      <c r="S11" s="149"/>
      <c r="T11" s="81"/>
      <c r="U11" s="81"/>
      <c r="V11" s="81"/>
      <c r="W11" s="81"/>
      <c r="X11" s="81"/>
      <c r="Y11" s="81"/>
      <c r="Z11" s="149"/>
      <c r="AA11" s="149"/>
      <c r="AB11" s="149"/>
      <c r="AC11" s="149"/>
      <c r="AD11" s="149"/>
      <c r="AE11" s="149"/>
      <c r="AF11" s="81"/>
      <c r="AG11" s="81"/>
      <c r="AH11" s="81"/>
      <c r="AI11" s="81"/>
      <c r="AJ11" s="81"/>
      <c r="AK11" s="81"/>
      <c r="AL11" s="149"/>
      <c r="AM11" s="149"/>
      <c r="AN11" s="149"/>
      <c r="AO11" s="149"/>
      <c r="AP11" s="81"/>
      <c r="AQ11" s="118"/>
      <c r="AR11" s="91"/>
      <c r="AS11" s="91"/>
      <c r="AT11" s="91"/>
    </row>
    <row r="12" spans="2:48" s="25" customFormat="1" ht="25" customHeight="1">
      <c r="D12" s="262"/>
      <c r="F12" s="81" t="s">
        <v>235</v>
      </c>
      <c r="G12" s="143" t="s">
        <v>276</v>
      </c>
      <c r="H12" s="81" t="s">
        <v>276</v>
      </c>
      <c r="I12" s="81" t="s">
        <v>276</v>
      </c>
      <c r="J12" s="81" t="s">
        <v>276</v>
      </c>
      <c r="K12" s="81" t="s">
        <v>276</v>
      </c>
      <c r="L12" s="81" t="s">
        <v>276</v>
      </c>
      <c r="M12" s="81" t="s">
        <v>276</v>
      </c>
      <c r="N12" s="149" t="s">
        <v>428</v>
      </c>
      <c r="O12" s="149" t="s">
        <v>428</v>
      </c>
      <c r="P12" s="149" t="s">
        <v>428</v>
      </c>
      <c r="Q12" s="149" t="s">
        <v>428</v>
      </c>
      <c r="R12" s="149" t="s">
        <v>428</v>
      </c>
      <c r="S12" s="149" t="s">
        <v>428</v>
      </c>
      <c r="T12" s="81" t="s">
        <v>231</v>
      </c>
      <c r="U12" s="81" t="s">
        <v>231</v>
      </c>
      <c r="V12" s="81" t="s">
        <v>231</v>
      </c>
      <c r="W12" s="81" t="s">
        <v>231</v>
      </c>
      <c r="X12" s="81" t="s">
        <v>231</v>
      </c>
      <c r="Y12" s="81" t="s">
        <v>231</v>
      </c>
      <c r="Z12" s="149" t="s">
        <v>429</v>
      </c>
      <c r="AA12" s="149" t="s">
        <v>429</v>
      </c>
      <c r="AB12" s="149" t="s">
        <v>429</v>
      </c>
      <c r="AC12" s="149" t="s">
        <v>429</v>
      </c>
      <c r="AD12" s="149" t="s">
        <v>429</v>
      </c>
      <c r="AE12" s="149" t="s">
        <v>429</v>
      </c>
      <c r="AF12" s="81" t="s">
        <v>483</v>
      </c>
      <c r="AG12" s="81" t="s">
        <v>483</v>
      </c>
      <c r="AH12" s="81" t="s">
        <v>483</v>
      </c>
      <c r="AI12" s="81" t="s">
        <v>483</v>
      </c>
      <c r="AJ12" s="81" t="s">
        <v>483</v>
      </c>
      <c r="AK12" s="81" t="s">
        <v>483</v>
      </c>
      <c r="AL12" s="149" t="s">
        <v>484</v>
      </c>
      <c r="AM12" s="149" t="s">
        <v>484</v>
      </c>
      <c r="AN12" s="149" t="s">
        <v>484</v>
      </c>
      <c r="AO12" s="149" t="s">
        <v>484</v>
      </c>
      <c r="AP12" s="81"/>
      <c r="AQ12" s="209" t="s">
        <v>276</v>
      </c>
      <c r="AR12" s="208" t="s">
        <v>285</v>
      </c>
      <c r="AS12" s="207" t="s">
        <v>281</v>
      </c>
      <c r="AT12" s="81" t="s">
        <v>284</v>
      </c>
      <c r="AU12" s="25" t="s">
        <v>393</v>
      </c>
    </row>
    <row r="13" spans="2:48" s="25" customFormat="1" ht="25" customHeight="1">
      <c r="D13" s="262"/>
      <c r="F13" s="81" t="s">
        <v>286</v>
      </c>
      <c r="G13" s="143" t="s">
        <v>434</v>
      </c>
      <c r="H13" s="81" t="s">
        <v>406</v>
      </c>
      <c r="I13" s="81" t="s">
        <v>407</v>
      </c>
      <c r="J13" s="81" t="s">
        <v>408</v>
      </c>
      <c r="K13" s="81" t="s">
        <v>409</v>
      </c>
      <c r="L13" s="81" t="s">
        <v>410</v>
      </c>
      <c r="M13" s="81" t="s">
        <v>411</v>
      </c>
      <c r="N13" s="149" t="s">
        <v>415</v>
      </c>
      <c r="O13" s="149" t="s">
        <v>416</v>
      </c>
      <c r="P13" s="149" t="s">
        <v>417</v>
      </c>
      <c r="Q13" s="149" t="s">
        <v>418</v>
      </c>
      <c r="R13" s="149" t="s">
        <v>419</v>
      </c>
      <c r="S13" s="149" t="s">
        <v>420</v>
      </c>
      <c r="T13" s="81" t="s">
        <v>421</v>
      </c>
      <c r="U13" s="81" t="s">
        <v>422</v>
      </c>
      <c r="V13" s="81" t="s">
        <v>423</v>
      </c>
      <c r="W13" s="81" t="s">
        <v>424</v>
      </c>
      <c r="X13" s="81" t="s">
        <v>425</v>
      </c>
      <c r="Y13" s="81" t="s">
        <v>426</v>
      </c>
      <c r="Z13" s="149" t="s">
        <v>427</v>
      </c>
      <c r="AA13" s="149" t="s">
        <v>435</v>
      </c>
      <c r="AB13" s="149" t="s">
        <v>436</v>
      </c>
      <c r="AC13" s="149" t="s">
        <v>437</v>
      </c>
      <c r="AD13" s="149" t="s">
        <v>438</v>
      </c>
      <c r="AE13" s="149" t="s">
        <v>439</v>
      </c>
      <c r="AF13" s="149" t="s">
        <v>485</v>
      </c>
      <c r="AG13" s="149" t="s">
        <v>486</v>
      </c>
      <c r="AH13" s="149" t="s">
        <v>487</v>
      </c>
      <c r="AI13" s="149" t="s">
        <v>488</v>
      </c>
      <c r="AJ13" s="149" t="s">
        <v>489</v>
      </c>
      <c r="AK13" s="149" t="s">
        <v>490</v>
      </c>
      <c r="AL13" s="149" t="s">
        <v>491</v>
      </c>
      <c r="AM13" s="149" t="s">
        <v>492</v>
      </c>
      <c r="AN13" s="149" t="s">
        <v>493</v>
      </c>
      <c r="AO13" s="149" t="s">
        <v>494</v>
      </c>
      <c r="AP13" s="81"/>
      <c r="AQ13" s="209" t="s">
        <v>287</v>
      </c>
      <c r="AR13" s="208" t="s">
        <v>288</v>
      </c>
      <c r="AS13" s="207" t="s">
        <v>289</v>
      </c>
      <c r="AT13" s="81" t="s">
        <v>290</v>
      </c>
    </row>
    <row r="14" spans="2:48" s="25" customFormat="1" ht="25" customHeight="1">
      <c r="B14" s="25" t="s">
        <v>540</v>
      </c>
      <c r="D14" s="262"/>
      <c r="F14" s="122" t="s">
        <v>541</v>
      </c>
      <c r="G14" s="247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248"/>
      <c r="AR14" s="249"/>
      <c r="AS14" s="249"/>
      <c r="AT14" s="122"/>
      <c r="AU14" s="250"/>
      <c r="AV14" s="250"/>
    </row>
    <row r="15" spans="2:48" s="25" customFormat="1" ht="25" customHeight="1">
      <c r="C15" s="25" t="s">
        <v>564</v>
      </c>
      <c r="D15" s="262"/>
      <c r="F15" s="256" t="s">
        <v>553</v>
      </c>
      <c r="G15" s="247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248"/>
      <c r="AR15" s="249"/>
      <c r="AS15" s="249"/>
      <c r="AT15" s="122"/>
      <c r="AU15" s="250"/>
      <c r="AV15" s="250"/>
    </row>
    <row r="16" spans="2:48" s="25" customFormat="1" ht="18">
      <c r="C16" s="262"/>
      <c r="D16" s="262" t="s">
        <v>565</v>
      </c>
      <c r="F16" s="206" t="s">
        <v>412</v>
      </c>
      <c r="G16" s="205">
        <v>300</v>
      </c>
      <c r="H16" s="87"/>
      <c r="I16" s="83"/>
      <c r="J16" s="83"/>
      <c r="K16" s="83"/>
      <c r="L16" s="83"/>
      <c r="M16" s="83"/>
      <c r="N16" s="150"/>
      <c r="O16" s="150"/>
      <c r="P16" s="150"/>
      <c r="Q16" s="150"/>
      <c r="R16" s="150"/>
      <c r="S16" s="150"/>
      <c r="T16" s="83"/>
      <c r="U16" s="83"/>
      <c r="V16" s="83"/>
      <c r="W16" s="83"/>
      <c r="X16" s="83"/>
      <c r="Y16" s="83"/>
      <c r="Z16" s="150"/>
      <c r="AA16" s="150"/>
      <c r="AB16" s="150"/>
      <c r="AC16" s="150"/>
      <c r="AD16" s="150"/>
      <c r="AE16" s="150"/>
      <c r="AF16" s="83"/>
      <c r="AG16" s="83"/>
      <c r="AH16" s="83"/>
      <c r="AI16" s="83"/>
      <c r="AJ16" s="83"/>
      <c r="AK16" s="83"/>
      <c r="AL16" s="150"/>
      <c r="AM16" s="150"/>
      <c r="AN16" s="150"/>
      <c r="AO16" s="150"/>
      <c r="AP16" s="83"/>
      <c r="AQ16" s="204"/>
      <c r="AR16" s="203"/>
      <c r="AS16" s="202"/>
      <c r="AT16" s="91"/>
    </row>
    <row r="17" spans="3:48" s="25" customFormat="1" ht="18">
      <c r="C17" s="262"/>
      <c r="D17" s="262" t="s">
        <v>547</v>
      </c>
      <c r="F17" s="206" t="s">
        <v>548</v>
      </c>
      <c r="G17" s="205"/>
      <c r="H17" s="87"/>
      <c r="I17" s="83"/>
      <c r="J17" s="83"/>
      <c r="K17" s="83"/>
      <c r="L17" s="83"/>
      <c r="M17" s="83"/>
      <c r="N17" s="150"/>
      <c r="O17" s="150"/>
      <c r="P17" s="150"/>
      <c r="Q17" s="150"/>
      <c r="R17" s="150"/>
      <c r="S17" s="150"/>
      <c r="T17" s="83"/>
      <c r="U17" s="83"/>
      <c r="V17" s="83"/>
      <c r="W17" s="83"/>
      <c r="X17" s="83"/>
      <c r="Y17" s="83"/>
      <c r="Z17" s="150"/>
      <c r="AA17" s="150"/>
      <c r="AB17" s="150"/>
      <c r="AC17" s="150"/>
      <c r="AD17" s="150"/>
      <c r="AE17" s="150"/>
      <c r="AF17" s="83"/>
      <c r="AG17" s="83"/>
      <c r="AH17" s="83"/>
      <c r="AI17" s="83"/>
      <c r="AJ17" s="83"/>
      <c r="AK17" s="83"/>
      <c r="AL17" s="150"/>
      <c r="AM17" s="150"/>
      <c r="AN17" s="150"/>
      <c r="AO17" s="150"/>
      <c r="AP17" s="83"/>
      <c r="AQ17" s="204"/>
      <c r="AR17" s="203"/>
      <c r="AS17" s="202"/>
      <c r="AT17" s="91"/>
    </row>
    <row r="18" spans="3:48" s="25" customFormat="1" ht="18">
      <c r="C18" s="262"/>
      <c r="D18" s="262" t="s">
        <v>549</v>
      </c>
      <c r="F18" s="206" t="s">
        <v>550</v>
      </c>
      <c r="G18" s="205"/>
      <c r="H18" s="87"/>
      <c r="I18" s="83"/>
      <c r="J18" s="83"/>
      <c r="K18" s="83"/>
      <c r="L18" s="83"/>
      <c r="M18" s="83"/>
      <c r="N18" s="150"/>
      <c r="O18" s="150"/>
      <c r="P18" s="150"/>
      <c r="Q18" s="150"/>
      <c r="R18" s="150"/>
      <c r="S18" s="150"/>
      <c r="T18" s="83"/>
      <c r="U18" s="83"/>
      <c r="V18" s="83"/>
      <c r="W18" s="83"/>
      <c r="X18" s="83"/>
      <c r="Y18" s="83"/>
      <c r="Z18" s="150"/>
      <c r="AA18" s="150"/>
      <c r="AB18" s="150"/>
      <c r="AC18" s="150"/>
      <c r="AD18" s="150"/>
      <c r="AE18" s="150"/>
      <c r="AF18" s="83"/>
      <c r="AG18" s="83"/>
      <c r="AH18" s="83"/>
      <c r="AI18" s="83"/>
      <c r="AJ18" s="83"/>
      <c r="AK18" s="83"/>
      <c r="AL18" s="150"/>
      <c r="AM18" s="150"/>
      <c r="AN18" s="150"/>
      <c r="AO18" s="150"/>
      <c r="AP18" s="83"/>
      <c r="AQ18" s="204"/>
      <c r="AR18" s="203"/>
      <c r="AS18" s="202"/>
      <c r="AT18" s="91"/>
    </row>
    <row r="19" spans="3:48" s="25" customFormat="1" ht="18">
      <c r="C19" s="262"/>
      <c r="D19" s="262" t="s">
        <v>551</v>
      </c>
      <c r="F19" s="206" t="s">
        <v>552</v>
      </c>
      <c r="G19" s="205"/>
      <c r="H19" s="87"/>
      <c r="I19" s="83"/>
      <c r="J19" s="83"/>
      <c r="K19" s="83"/>
      <c r="L19" s="83"/>
      <c r="M19" s="83"/>
      <c r="N19" s="150"/>
      <c r="O19" s="150"/>
      <c r="P19" s="150"/>
      <c r="Q19" s="150"/>
      <c r="R19" s="150"/>
      <c r="S19" s="150"/>
      <c r="T19" s="83"/>
      <c r="U19" s="83"/>
      <c r="V19" s="83"/>
      <c r="W19" s="83"/>
      <c r="X19" s="83"/>
      <c r="Y19" s="83"/>
      <c r="Z19" s="150"/>
      <c r="AA19" s="150"/>
      <c r="AB19" s="150"/>
      <c r="AC19" s="150"/>
      <c r="AD19" s="150"/>
      <c r="AE19" s="150"/>
      <c r="AF19" s="83"/>
      <c r="AG19" s="83"/>
      <c r="AH19" s="83"/>
      <c r="AI19" s="83"/>
      <c r="AJ19" s="83"/>
      <c r="AK19" s="83"/>
      <c r="AL19" s="150"/>
      <c r="AM19" s="150"/>
      <c r="AN19" s="150"/>
      <c r="AO19" s="150"/>
      <c r="AP19" s="83"/>
      <c r="AQ19" s="204"/>
      <c r="AR19" s="203"/>
      <c r="AS19" s="202"/>
      <c r="AT19" s="91"/>
    </row>
    <row r="20" spans="3:48" s="25" customFormat="1" ht="18">
      <c r="C20" s="25" t="s">
        <v>566</v>
      </c>
      <c r="D20" s="262"/>
      <c r="F20" s="256" t="s">
        <v>554</v>
      </c>
      <c r="G20" s="205"/>
      <c r="H20" s="87"/>
      <c r="I20" s="83"/>
      <c r="J20" s="83"/>
      <c r="K20" s="83"/>
      <c r="L20" s="83"/>
      <c r="M20" s="83"/>
      <c r="N20" s="150"/>
      <c r="O20" s="150"/>
      <c r="P20" s="150"/>
      <c r="Q20" s="150"/>
      <c r="R20" s="150"/>
      <c r="S20" s="150"/>
      <c r="T20" s="83"/>
      <c r="U20" s="83"/>
      <c r="V20" s="83"/>
      <c r="W20" s="83"/>
      <c r="X20" s="83"/>
      <c r="Y20" s="83"/>
      <c r="Z20" s="150"/>
      <c r="AA20" s="150"/>
      <c r="AB20" s="150"/>
      <c r="AC20" s="150"/>
      <c r="AD20" s="150"/>
      <c r="AE20" s="150"/>
      <c r="AF20" s="83"/>
      <c r="AG20" s="83"/>
      <c r="AH20" s="83"/>
      <c r="AI20" s="83"/>
      <c r="AJ20" s="83"/>
      <c r="AK20" s="83"/>
      <c r="AL20" s="150"/>
      <c r="AM20" s="150"/>
      <c r="AN20" s="150"/>
      <c r="AO20" s="150"/>
      <c r="AP20" s="83"/>
      <c r="AQ20" s="204"/>
      <c r="AR20" s="203"/>
      <c r="AS20" s="202"/>
      <c r="AT20" s="91"/>
    </row>
    <row r="21" spans="3:48" s="25" customFormat="1" ht="25" customHeight="1">
      <c r="D21" s="262" t="s">
        <v>567</v>
      </c>
      <c r="F21" s="81" t="s">
        <v>280</v>
      </c>
      <c r="G21" s="143"/>
      <c r="H21" s="82">
        <v>1</v>
      </c>
      <c r="I21" s="162">
        <v>1.0249999999999999</v>
      </c>
      <c r="J21" s="84"/>
      <c r="K21" s="84"/>
      <c r="L21" s="84"/>
      <c r="M21" s="84"/>
      <c r="N21" s="152"/>
      <c r="O21" s="152"/>
      <c r="P21" s="152"/>
      <c r="Q21" s="152"/>
      <c r="R21" s="152"/>
      <c r="S21" s="152"/>
      <c r="T21" s="84"/>
      <c r="U21" s="84"/>
      <c r="V21" s="84"/>
      <c r="W21" s="84"/>
      <c r="X21" s="84"/>
      <c r="Y21" s="84"/>
      <c r="Z21" s="152"/>
      <c r="AA21" s="152"/>
      <c r="AB21" s="152"/>
      <c r="AC21" s="152"/>
      <c r="AD21" s="152"/>
      <c r="AE21" s="152"/>
      <c r="AF21" s="84"/>
      <c r="AG21" s="84"/>
      <c r="AH21" s="84"/>
      <c r="AI21" s="84"/>
      <c r="AJ21" s="84"/>
      <c r="AK21" s="84"/>
      <c r="AL21" s="152"/>
      <c r="AM21" s="152"/>
      <c r="AN21" s="152"/>
      <c r="AO21" s="152"/>
      <c r="AP21" s="82"/>
      <c r="AQ21" s="175">
        <f>(I21^6)</f>
        <v>1.1596934182128902</v>
      </c>
      <c r="AR21" s="174">
        <f>AR23/(AQ23*2)</f>
        <v>1.1101021941940303</v>
      </c>
      <c r="AS21" s="173">
        <f>AS23/AR23</f>
        <v>1.3448888242462971</v>
      </c>
      <c r="AT21" s="82"/>
      <c r="AU21" s="82"/>
      <c r="AV21" s="82"/>
    </row>
    <row r="22" spans="3:48" s="25" customFormat="1" ht="25" customHeight="1">
      <c r="D22" s="262" t="s">
        <v>568</v>
      </c>
      <c r="F22" s="81" t="s">
        <v>431</v>
      </c>
      <c r="G22" s="143"/>
      <c r="H22" s="163">
        <v>0.55000000000000004</v>
      </c>
      <c r="I22" s="163">
        <v>1</v>
      </c>
      <c r="J22" s="147">
        <f t="shared" ref="J22:AO22" si="0">$I22</f>
        <v>1</v>
      </c>
      <c r="K22" s="147">
        <f t="shared" si="0"/>
        <v>1</v>
      </c>
      <c r="L22" s="147">
        <f t="shared" si="0"/>
        <v>1</v>
      </c>
      <c r="M22" s="147">
        <f t="shared" si="0"/>
        <v>1</v>
      </c>
      <c r="N22" s="151">
        <f t="shared" si="0"/>
        <v>1</v>
      </c>
      <c r="O22" s="151">
        <f t="shared" si="0"/>
        <v>1</v>
      </c>
      <c r="P22" s="151">
        <f t="shared" si="0"/>
        <v>1</v>
      </c>
      <c r="Q22" s="151">
        <f t="shared" si="0"/>
        <v>1</v>
      </c>
      <c r="R22" s="151">
        <f t="shared" si="0"/>
        <v>1</v>
      </c>
      <c r="S22" s="151">
        <f t="shared" si="0"/>
        <v>1</v>
      </c>
      <c r="T22" s="147">
        <f t="shared" si="0"/>
        <v>1</v>
      </c>
      <c r="U22" s="147">
        <f t="shared" si="0"/>
        <v>1</v>
      </c>
      <c r="V22" s="147">
        <f t="shared" si="0"/>
        <v>1</v>
      </c>
      <c r="W22" s="147">
        <f t="shared" si="0"/>
        <v>1</v>
      </c>
      <c r="X22" s="147">
        <f t="shared" si="0"/>
        <v>1</v>
      </c>
      <c r="Y22" s="147">
        <f t="shared" si="0"/>
        <v>1</v>
      </c>
      <c r="Z22" s="151">
        <f t="shared" si="0"/>
        <v>1</v>
      </c>
      <c r="AA22" s="151">
        <f t="shared" si="0"/>
        <v>1</v>
      </c>
      <c r="AB22" s="151">
        <f t="shared" si="0"/>
        <v>1</v>
      </c>
      <c r="AC22" s="151">
        <f t="shared" si="0"/>
        <v>1</v>
      </c>
      <c r="AD22" s="151">
        <f t="shared" si="0"/>
        <v>1</v>
      </c>
      <c r="AE22" s="151">
        <f t="shared" si="0"/>
        <v>1</v>
      </c>
      <c r="AF22" s="147">
        <f t="shared" si="0"/>
        <v>1</v>
      </c>
      <c r="AG22" s="147">
        <f t="shared" si="0"/>
        <v>1</v>
      </c>
      <c r="AH22" s="147">
        <f t="shared" si="0"/>
        <v>1</v>
      </c>
      <c r="AI22" s="147">
        <f t="shared" si="0"/>
        <v>1</v>
      </c>
      <c r="AJ22" s="147">
        <f t="shared" si="0"/>
        <v>1</v>
      </c>
      <c r="AK22" s="147">
        <f t="shared" si="0"/>
        <v>1</v>
      </c>
      <c r="AL22" s="151">
        <f t="shared" si="0"/>
        <v>1</v>
      </c>
      <c r="AM22" s="151">
        <f t="shared" si="0"/>
        <v>1</v>
      </c>
      <c r="AN22" s="151">
        <f t="shared" si="0"/>
        <v>1</v>
      </c>
      <c r="AO22" s="151">
        <f t="shared" si="0"/>
        <v>1</v>
      </c>
      <c r="AP22" s="82"/>
      <c r="AQ22" s="175"/>
      <c r="AR22" s="174"/>
      <c r="AS22" s="173"/>
      <c r="AT22" s="82"/>
      <c r="AU22" s="82"/>
      <c r="AV22" s="82"/>
    </row>
    <row r="23" spans="3:48" s="25" customFormat="1" ht="25" customHeight="1">
      <c r="D23" s="262" t="s">
        <v>569</v>
      </c>
      <c r="F23" s="160" t="s">
        <v>451</v>
      </c>
      <c r="G23" s="169">
        <v>0</v>
      </c>
      <c r="H23" s="164">
        <v>100</v>
      </c>
      <c r="I23" s="161">
        <f>(H24)*$I$21</f>
        <v>56.375</v>
      </c>
      <c r="J23" s="161">
        <f>(I24)*$I$21</f>
        <v>57.784374999999997</v>
      </c>
      <c r="K23" s="161">
        <f>(J24)*$I$21</f>
        <v>59.228984374999989</v>
      </c>
      <c r="L23" s="161">
        <f>(K24)*$I$21</f>
        <v>60.709708984374984</v>
      </c>
      <c r="M23" s="161">
        <f>(L24)*$I$21</f>
        <v>62.227451708984354</v>
      </c>
      <c r="N23" s="161">
        <f>(M24)*$I$21</f>
        <v>63.783138001708956</v>
      </c>
      <c r="O23" s="161">
        <f>(N24)*$I$21</f>
        <v>65.377716451751681</v>
      </c>
      <c r="P23" s="161">
        <f>(O24)*$I$21</f>
        <v>67.01215936304547</v>
      </c>
      <c r="Q23" s="161">
        <f>(P24)*$I$21</f>
        <v>68.687463347121607</v>
      </c>
      <c r="R23" s="161">
        <f>(Q24)*$I$21</f>
        <v>70.404649930799636</v>
      </c>
      <c r="S23" s="161">
        <f>(R24)*$I$21</f>
        <v>72.164766179069616</v>
      </c>
      <c r="T23" s="161">
        <f>(S24)*$I$21</f>
        <v>73.968885333546353</v>
      </c>
      <c r="U23" s="161">
        <f>(T24)*$I$21</f>
        <v>75.81810746688501</v>
      </c>
      <c r="V23" s="161">
        <f>(U24)*$I$21</f>
        <v>77.713560153557125</v>
      </c>
      <c r="W23" s="161">
        <f>(V24)*$I$21</f>
        <v>79.656399157396052</v>
      </c>
      <c r="X23" s="161">
        <f>(W24)*$I$21</f>
        <v>81.647809136330949</v>
      </c>
      <c r="Y23" s="161">
        <f>(X24)*$I$21</f>
        <v>83.689004364739219</v>
      </c>
      <c r="Z23" s="161">
        <f>(Y24)*$I$21</f>
        <v>85.781229473857692</v>
      </c>
      <c r="AA23" s="161">
        <f>(Z24)*$I$21</f>
        <v>87.925760210704127</v>
      </c>
      <c r="AB23" s="161">
        <f>(AA24)*$I$21</f>
        <v>90.12390421597172</v>
      </c>
      <c r="AC23" s="161">
        <f>(AB24)*$I$21</f>
        <v>92.37700182137101</v>
      </c>
      <c r="AD23" s="161">
        <f>(AC24)*$I$21</f>
        <v>94.686426866905279</v>
      </c>
      <c r="AE23" s="161">
        <f>(AD24)*$I$21</f>
        <v>97.053587538577901</v>
      </c>
      <c r="AF23" s="161">
        <f>(AE24)*$I$21</f>
        <v>99.479927227042339</v>
      </c>
      <c r="AG23" s="161">
        <f>(AF24)*$I$21</f>
        <v>101.96692540771839</v>
      </c>
      <c r="AH23" s="161">
        <f>(AG24)*$I$21</f>
        <v>104.51609854291134</v>
      </c>
      <c r="AI23" s="161">
        <f>(AH24)*$I$21</f>
        <v>107.12900100648412</v>
      </c>
      <c r="AJ23" s="161">
        <f>(AI24)*$I$21</f>
        <v>109.80722603164621</v>
      </c>
      <c r="AK23" s="161">
        <f>(AJ24)*$I$21</f>
        <v>112.55240668243735</v>
      </c>
      <c r="AL23" s="161">
        <f>(AK24)*$I$21</f>
        <v>115.36621684949827</v>
      </c>
      <c r="AM23" s="161">
        <f>(AL24)*$I$21</f>
        <v>118.25037227073572</v>
      </c>
      <c r="AN23" s="161">
        <f>(AM24)*$I$21</f>
        <v>121.20663157750411</v>
      </c>
      <c r="AO23" s="161">
        <f>(AN24)*$I$21</f>
        <v>124.2367973669417</v>
      </c>
      <c r="AP23" s="83"/>
      <c r="AQ23" s="176">
        <f>SUM(H23:M23)</f>
        <v>396.32552006835931</v>
      </c>
      <c r="AR23" s="172">
        <f>SUM(N23:Y23)</f>
        <v>879.92365888595168</v>
      </c>
      <c r="AS23" s="171">
        <f>SUM(Z23:AK23)</f>
        <v>1183.3994950256274</v>
      </c>
      <c r="AT23" s="83"/>
      <c r="AU23" s="83"/>
      <c r="AV23" s="83"/>
    </row>
    <row r="24" spans="3:48" s="25" customFormat="1" ht="25" customHeight="1" thickBot="1">
      <c r="D24" s="262" t="s">
        <v>570</v>
      </c>
      <c r="F24" s="158" t="s">
        <v>430</v>
      </c>
      <c r="G24" s="168">
        <v>0</v>
      </c>
      <c r="H24" s="159">
        <f>H23*H22</f>
        <v>55.000000000000007</v>
      </c>
      <c r="I24" s="159">
        <f>I23*I22</f>
        <v>56.375</v>
      </c>
      <c r="J24" s="159">
        <f>J23*J22</f>
        <v>57.784374999999997</v>
      </c>
      <c r="K24" s="159">
        <f>K23*K22</f>
        <v>59.228984374999989</v>
      </c>
      <c r="L24" s="159">
        <f>L23*L22</f>
        <v>60.709708984374984</v>
      </c>
      <c r="M24" s="159">
        <f>M23*M22</f>
        <v>62.227451708984354</v>
      </c>
      <c r="N24" s="170">
        <f>N23*N22</f>
        <v>63.783138001708956</v>
      </c>
      <c r="O24" s="170">
        <f>O23*O22</f>
        <v>65.377716451751681</v>
      </c>
      <c r="P24" s="170">
        <f>P23*P22</f>
        <v>67.01215936304547</v>
      </c>
      <c r="Q24" s="170">
        <f>Q23*Q22</f>
        <v>68.687463347121607</v>
      </c>
      <c r="R24" s="170">
        <f>R23*R22</f>
        <v>70.404649930799636</v>
      </c>
      <c r="S24" s="170">
        <f>S23*S22</f>
        <v>72.164766179069616</v>
      </c>
      <c r="T24" s="159">
        <f>T23*T22</f>
        <v>73.968885333546353</v>
      </c>
      <c r="U24" s="159">
        <f>U23*U22</f>
        <v>75.81810746688501</v>
      </c>
      <c r="V24" s="159">
        <f>V23*V22</f>
        <v>77.713560153557125</v>
      </c>
      <c r="W24" s="159">
        <f>W23*W22</f>
        <v>79.656399157396052</v>
      </c>
      <c r="X24" s="159">
        <f>X23*X22</f>
        <v>81.647809136330949</v>
      </c>
      <c r="Y24" s="159">
        <f>Y23*Y22</f>
        <v>83.689004364739219</v>
      </c>
      <c r="Z24" s="170">
        <f>Z23*Z22</f>
        <v>85.781229473857692</v>
      </c>
      <c r="AA24" s="170">
        <f>AA23*AA22</f>
        <v>87.925760210704127</v>
      </c>
      <c r="AB24" s="170">
        <f>AB23*AB22</f>
        <v>90.12390421597172</v>
      </c>
      <c r="AC24" s="170">
        <f>AC23*AC22</f>
        <v>92.37700182137101</v>
      </c>
      <c r="AD24" s="170">
        <f>AD23*AD22</f>
        <v>94.686426866905279</v>
      </c>
      <c r="AE24" s="170">
        <f>AE23*AE22</f>
        <v>97.053587538577901</v>
      </c>
      <c r="AF24" s="159">
        <f>AF23*AF22</f>
        <v>99.479927227042339</v>
      </c>
      <c r="AG24" s="159">
        <f>AG23*AG22</f>
        <v>101.96692540771839</v>
      </c>
      <c r="AH24" s="159">
        <f>AH23*AH22</f>
        <v>104.51609854291134</v>
      </c>
      <c r="AI24" s="159">
        <f>AI23*AI22</f>
        <v>107.12900100648412</v>
      </c>
      <c r="AJ24" s="159">
        <f>AJ23*AJ22</f>
        <v>109.80722603164621</v>
      </c>
      <c r="AK24" s="159">
        <f>AK23*AK22</f>
        <v>112.55240668243735</v>
      </c>
      <c r="AL24" s="170">
        <f>AL23*AL22</f>
        <v>115.36621684949827</v>
      </c>
      <c r="AM24" s="170">
        <f>AM23*AM22</f>
        <v>118.25037227073572</v>
      </c>
      <c r="AN24" s="170">
        <f>AN23*AN22</f>
        <v>121.20663157750411</v>
      </c>
      <c r="AO24" s="170">
        <f>AO23*AO22</f>
        <v>124.2367973669417</v>
      </c>
      <c r="AP24" s="82"/>
      <c r="AQ24" s="176">
        <f>SUM(H24:M24)</f>
        <v>351.32552006835931</v>
      </c>
      <c r="AR24" s="172">
        <f>SUM(N24:Y24)</f>
        <v>879.92365888595168</v>
      </c>
      <c r="AS24" s="171">
        <f>SUM(Z24:AK24)</f>
        <v>1183.3994950256274</v>
      </c>
      <c r="AT24" s="83"/>
      <c r="AU24" s="83"/>
      <c r="AV24" s="83"/>
    </row>
    <row r="25" spans="3:48" s="25" customFormat="1" ht="25" customHeight="1" thickTop="1">
      <c r="D25" s="262" t="s">
        <v>571</v>
      </c>
      <c r="F25" s="201" t="s">
        <v>452</v>
      </c>
      <c r="G25" s="200">
        <f>G24+G41</f>
        <v>0</v>
      </c>
      <c r="H25" s="200">
        <f>H24+H41</f>
        <v>55.000000000000007</v>
      </c>
      <c r="I25" s="200">
        <f>I24+I41</f>
        <v>65.739888888888885</v>
      </c>
      <c r="J25" s="200">
        <f>J24+J41</f>
        <v>68.958274999999986</v>
      </c>
      <c r="K25" s="200">
        <f>K24+K41</f>
        <v>63.828720763888882</v>
      </c>
      <c r="L25" s="200">
        <f>L24+L41</f>
        <v>60.709708984374984</v>
      </c>
      <c r="M25" s="200">
        <f>M24+M41</f>
        <v>62.227451708984354</v>
      </c>
      <c r="N25" s="200">
        <f>N24+N41</f>
        <v>63.783138001708956</v>
      </c>
      <c r="O25" s="200">
        <f>O24+O41</f>
        <v>65.377716451751681</v>
      </c>
      <c r="P25" s="200">
        <f>P24+P41</f>
        <v>67.405760497701209</v>
      </c>
      <c r="Q25" s="200">
        <f>Q24+Q41</f>
        <v>71.231410217782624</v>
      </c>
      <c r="R25" s="200">
        <f>R24+R41</f>
        <v>74.798460159675898</v>
      </c>
      <c r="S25" s="200">
        <f>S24+S41</f>
        <v>76.528231213241526</v>
      </c>
      <c r="T25" s="200">
        <f>T24+T41</f>
        <v>76.693608325342424</v>
      </c>
      <c r="U25" s="200">
        <f>U24+U41</f>
        <v>76.989291270629508</v>
      </c>
      <c r="V25" s="200">
        <f>V24+V41</f>
        <v>78.865412090955871</v>
      </c>
      <c r="W25" s="200">
        <f>W24+W41</f>
        <v>82.247927468352216</v>
      </c>
      <c r="X25" s="200">
        <f>X24+X41</f>
        <v>85.758756045478918</v>
      </c>
      <c r="Y25" s="200">
        <f>Y24+Y41</f>
        <v>88.087563269423569</v>
      </c>
      <c r="Z25" s="200">
        <f>Z24+Z41</f>
        <v>89.165423322590726</v>
      </c>
      <c r="AA25" s="200">
        <f>AA24+AA41</f>
        <v>90.103875386560148</v>
      </c>
      <c r="AB25" s="200">
        <f>AB24+AB41</f>
        <v>92.077684877840383</v>
      </c>
      <c r="AC25" s="200">
        <f>AC24+AC41</f>
        <v>95.262454773588431</v>
      </c>
      <c r="AD25" s="200">
        <f>AD24+AD41</f>
        <v>98.777752570775561</v>
      </c>
      <c r="AE25" s="200">
        <f>AE24+AE41</f>
        <v>101.58638781647053</v>
      </c>
      <c r="AF25" s="200">
        <f>AF24+AF41</f>
        <v>103.44487615824519</v>
      </c>
      <c r="AG25" s="200">
        <f>AG24+AG41</f>
        <v>105.04455442028119</v>
      </c>
      <c r="AH25" s="200">
        <f>AH24+AH41</f>
        <v>107.29727885714146</v>
      </c>
      <c r="AI25" s="200">
        <f>AI24+AI41</f>
        <v>110.49412068265137</v>
      </c>
      <c r="AJ25" s="200">
        <f>AJ24+AJ41</f>
        <v>114.10693403508108</v>
      </c>
      <c r="AK25" s="200">
        <f>AK24+AK41</f>
        <v>117.3470988526483</v>
      </c>
      <c r="AL25" s="200">
        <f>AL24+AL41</f>
        <v>119.9028534888276</v>
      </c>
      <c r="AM25" s="200">
        <f>AM24+AM41</f>
        <v>122.17375967089021</v>
      </c>
      <c r="AN25" s="200">
        <f>AN24+AN41</f>
        <v>124.84156905912758</v>
      </c>
      <c r="AO25" s="200">
        <f>AO24+AO41</f>
        <v>128.23007232171315</v>
      </c>
      <c r="AP25" s="83"/>
      <c r="AQ25" s="176">
        <f>SUM(H25:M25)</f>
        <v>376.46404534613708</v>
      </c>
      <c r="AR25" s="172">
        <f>SUM(N25:Y25)</f>
        <v>907.76727501204425</v>
      </c>
      <c r="AS25" s="171">
        <f>SUM(Z25:AK25)</f>
        <v>1224.7084417538742</v>
      </c>
      <c r="AT25" s="83"/>
      <c r="AU25" s="83"/>
      <c r="AV25" s="83"/>
    </row>
    <row r="26" spans="3:48" s="25" customFormat="1" ht="25" customHeight="1">
      <c r="C26" s="25" t="s">
        <v>572</v>
      </c>
      <c r="D26" s="262"/>
      <c r="F26" s="257" t="s">
        <v>555</v>
      </c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83"/>
      <c r="AQ26" s="176"/>
      <c r="AR26" s="172"/>
      <c r="AS26" s="171"/>
      <c r="AT26" s="83"/>
      <c r="AU26" s="83"/>
      <c r="AV26" s="83"/>
    </row>
    <row r="27" spans="3:48" s="25" customFormat="1" ht="25" customHeight="1">
      <c r="D27" s="262" t="s">
        <v>573</v>
      </c>
      <c r="F27" s="81" t="s">
        <v>275</v>
      </c>
      <c r="G27" s="143">
        <v>0</v>
      </c>
      <c r="H27" s="83">
        <f>H25-H34</f>
        <v>34.100000000000009</v>
      </c>
      <c r="I27" s="83">
        <f>I25-I34</f>
        <v>44.317388888888885</v>
      </c>
      <c r="J27" s="83">
        <f>J25-J34</f>
        <v>47.000212499999989</v>
      </c>
      <c r="K27" s="83">
        <f>K25-K34</f>
        <v>41.321706701388891</v>
      </c>
      <c r="L27" s="83">
        <f>L25-L34</f>
        <v>37.640019570312489</v>
      </c>
      <c r="M27" s="83">
        <f>M25-M34</f>
        <v>38.581020059570299</v>
      </c>
      <c r="N27" s="150">
        <f>N25-N34</f>
        <v>39.545545561059555</v>
      </c>
      <c r="O27" s="150">
        <f>O25-O34</f>
        <v>40.534184200086045</v>
      </c>
      <c r="P27" s="150">
        <f>P25-P34</f>
        <v>41.941139939743934</v>
      </c>
      <c r="Q27" s="150">
        <f>Q25-Q34</f>
        <v>45.13017414587641</v>
      </c>
      <c r="R27" s="150">
        <f>R25-R34</f>
        <v>48.044693185972037</v>
      </c>
      <c r="S27" s="150">
        <f>S25-S34</f>
        <v>49.105620065195069</v>
      </c>
      <c r="T27" s="83">
        <f>T25-T34</f>
        <v>48.585431898594805</v>
      </c>
      <c r="U27" s="83">
        <f>U25-U34</f>
        <v>48.178410433213202</v>
      </c>
      <c r="V27" s="83">
        <f>V25-V34</f>
        <v>49.334259232604168</v>
      </c>
      <c r="W27" s="83">
        <f>W25-W34</f>
        <v>51.978495788541721</v>
      </c>
      <c r="X27" s="83">
        <f>X25-X34</f>
        <v>54.732588573673155</v>
      </c>
      <c r="Y27" s="83">
        <f>Y25-Y34</f>
        <v>56.285741610822669</v>
      </c>
      <c r="Z27" s="150">
        <f>Z25-Z34</f>
        <v>56.568556122524804</v>
      </c>
      <c r="AA27" s="150">
        <f>AA25-AA34</f>
        <v>56.692086506492579</v>
      </c>
      <c r="AB27" s="150">
        <f>AB25-AB34</f>
        <v>57.83060127577113</v>
      </c>
      <c r="AC27" s="150">
        <f>AC25-AC34</f>
        <v>60.159194081467447</v>
      </c>
      <c r="AD27" s="150">
        <f>AD25-AD34</f>
        <v>62.796910361351557</v>
      </c>
      <c r="AE27" s="150">
        <f>AE25-AE34</f>
        <v>64.706024551810941</v>
      </c>
      <c r="AF27" s="83">
        <f>AF25-AF34</f>
        <v>65.642503811969107</v>
      </c>
      <c r="AG27" s="83">
        <f>AG25-AG34</f>
        <v>66.297122765348206</v>
      </c>
      <c r="AH27" s="83">
        <f>AH25-AH34</f>
        <v>67.581161410835165</v>
      </c>
      <c r="AI27" s="83">
        <f>AI25-AI34</f>
        <v>69.785100300187409</v>
      </c>
      <c r="AJ27" s="83">
        <f>AJ25-AJ34</f>
        <v>72.38018814305552</v>
      </c>
      <c r="AK27" s="83">
        <f>AK25-AK34</f>
        <v>74.577184313322107</v>
      </c>
      <c r="AL27" s="150">
        <f>AL25-AL34</f>
        <v>76.063691086018252</v>
      </c>
      <c r="AM27" s="150">
        <f>AM25-AM34</f>
        <v>77.238618208010621</v>
      </c>
      <c r="AN27" s="150">
        <f>AN25-AN34</f>
        <v>78.783049059676017</v>
      </c>
      <c r="AO27" s="150">
        <f>AO25-AO34</f>
        <v>81.020089322275311</v>
      </c>
      <c r="AP27" s="83"/>
      <c r="AQ27" s="176">
        <f>SUM(H27:M27)</f>
        <v>242.96034772016057</v>
      </c>
      <c r="AR27" s="172">
        <f>SUM(N27:Y27)</f>
        <v>573.39628463538293</v>
      </c>
      <c r="AS27" s="171">
        <f>SUM(Z27:AK27)</f>
        <v>775.01663364413594</v>
      </c>
      <c r="AT27" s="83"/>
      <c r="AU27" s="83"/>
      <c r="AV27" s="83"/>
    </row>
    <row r="28" spans="3:48" s="25" customFormat="1" ht="25" customHeight="1">
      <c r="D28" s="262" t="s">
        <v>245</v>
      </c>
      <c r="F28" s="81" t="s">
        <v>277</v>
      </c>
      <c r="G28" s="143"/>
      <c r="H28" s="84">
        <f>ROUNDUP(H27/H25,3)</f>
        <v>0.62</v>
      </c>
      <c r="I28" s="84">
        <f>ROUNDUP(I27/I25,3)</f>
        <v>0.67500000000000004</v>
      </c>
      <c r="J28" s="84">
        <f>ROUNDUP(J27/J25,3)</f>
        <v>0.68200000000000005</v>
      </c>
      <c r="K28" s="84">
        <f>ROUNDUP(K27/K25,3)</f>
        <v>0.64800000000000002</v>
      </c>
      <c r="L28" s="84">
        <f>ROUNDUP(L27/L25,3)</f>
        <v>0.62</v>
      </c>
      <c r="M28" s="84">
        <f>ROUNDUP(M27/M25,3)</f>
        <v>0.62</v>
      </c>
      <c r="N28" s="152">
        <f>ROUNDUP(N27/N25,3)</f>
        <v>0.62</v>
      </c>
      <c r="O28" s="152">
        <f>ROUNDUP(O27/O25,3)</f>
        <v>0.62</v>
      </c>
      <c r="P28" s="152">
        <f>ROUNDUP(P27/P25,3)</f>
        <v>0.623</v>
      </c>
      <c r="Q28" s="152">
        <f>ROUNDUP(Q27/Q25,3)</f>
        <v>0.63400000000000001</v>
      </c>
      <c r="R28" s="152">
        <f>ROUNDUP(R27/R25,3)</f>
        <v>0.64300000000000002</v>
      </c>
      <c r="S28" s="152">
        <f>ROUNDUP(S27/S25,3)</f>
        <v>0.64200000000000002</v>
      </c>
      <c r="T28" s="84">
        <f>ROUNDUP(T27/T25,3)</f>
        <v>0.63400000000000001</v>
      </c>
      <c r="U28" s="84">
        <f>ROUNDUP(U27/U25,3)</f>
        <v>0.626</v>
      </c>
      <c r="V28" s="84">
        <f>ROUNDUP(V27/V25,3)</f>
        <v>0.626</v>
      </c>
      <c r="W28" s="84">
        <f>ROUNDUP(W27/W25,3)</f>
        <v>0.63200000000000001</v>
      </c>
      <c r="X28" s="84">
        <f>ROUNDUP(X27/X25,3)</f>
        <v>0.63900000000000001</v>
      </c>
      <c r="Y28" s="84">
        <f>ROUNDUP(Y27/Y25,3)</f>
        <v>0.63900000000000001</v>
      </c>
      <c r="Z28" s="152">
        <f>ROUNDUP(Z27/Z25,3)</f>
        <v>0.63500000000000001</v>
      </c>
      <c r="AA28" s="152">
        <f>ROUNDUP(AA27/AA25,3)</f>
        <v>0.63</v>
      </c>
      <c r="AB28" s="152">
        <f>ROUNDUP(AB27/AB25,3)</f>
        <v>0.629</v>
      </c>
      <c r="AC28" s="152">
        <f>ROUNDUP(AC27/AC25,3)</f>
        <v>0.63200000000000001</v>
      </c>
      <c r="AD28" s="152">
        <f>ROUNDUP(AD27/AD25,3)</f>
        <v>0.63600000000000001</v>
      </c>
      <c r="AE28" s="152">
        <f>ROUNDUP(AE27/AE25,3)</f>
        <v>0.63700000000000001</v>
      </c>
      <c r="AF28" s="84">
        <f>ROUNDUP(AF27/AF25,3)</f>
        <v>0.63500000000000001</v>
      </c>
      <c r="AG28" s="84">
        <f>ROUNDUP(AG27/AG25,3)</f>
        <v>0.63200000000000001</v>
      </c>
      <c r="AH28" s="84">
        <f>ROUNDUP(AH27/AH25,3)</f>
        <v>0.63</v>
      </c>
      <c r="AI28" s="84">
        <f>ROUNDUP(AI27/AI25,3)</f>
        <v>0.63200000000000001</v>
      </c>
      <c r="AJ28" s="84">
        <f>ROUNDUP(AJ27/AJ25,3)</f>
        <v>0.63500000000000001</v>
      </c>
      <c r="AK28" s="84">
        <f>ROUNDUP(AK27/AK25,3)</f>
        <v>0.63600000000000001</v>
      </c>
      <c r="AL28" s="152">
        <f>ROUNDUP(AL27/AL25,3)</f>
        <v>0.63500000000000001</v>
      </c>
      <c r="AM28" s="152">
        <f>ROUNDUP(AM27/AM25,3)</f>
        <v>0.63300000000000001</v>
      </c>
      <c r="AN28" s="152">
        <f>ROUNDUP(AN27/AN25,3)</f>
        <v>0.63200000000000001</v>
      </c>
      <c r="AO28" s="152">
        <f>ROUNDUP(AO27/AO25,3)</f>
        <v>0.63200000000000001</v>
      </c>
      <c r="AP28" s="84"/>
      <c r="AQ28" s="199">
        <f>ROUNDUP(AQ27/AQ23,3)</f>
        <v>0.61399999999999999</v>
      </c>
      <c r="AR28" s="198">
        <f>ROUNDUP(AR27/AR23,3)</f>
        <v>0.65200000000000002</v>
      </c>
      <c r="AS28" s="197">
        <f>ROUNDUP(AS27/AS23,3)</f>
        <v>0.65500000000000003</v>
      </c>
      <c r="AT28" s="84"/>
      <c r="AU28" s="84"/>
      <c r="AV28" s="84"/>
    </row>
    <row r="29" spans="3:48" s="25" customFormat="1" ht="25" customHeight="1">
      <c r="D29" s="262" t="s">
        <v>574</v>
      </c>
      <c r="F29" s="81" t="s">
        <v>208</v>
      </c>
      <c r="G29" s="85">
        <v>0.38</v>
      </c>
      <c r="H29" s="85">
        <v>0.38</v>
      </c>
      <c r="I29" s="85">
        <v>0.38</v>
      </c>
      <c r="J29" s="85">
        <v>0.38</v>
      </c>
      <c r="K29" s="85">
        <v>0.38</v>
      </c>
      <c r="L29" s="85">
        <v>0.38</v>
      </c>
      <c r="M29" s="85">
        <v>0.38</v>
      </c>
      <c r="N29" s="153">
        <v>0.38</v>
      </c>
      <c r="O29" s="153">
        <v>0.38</v>
      </c>
      <c r="P29" s="153">
        <v>0.38</v>
      </c>
      <c r="Q29" s="153">
        <v>0.38</v>
      </c>
      <c r="R29" s="153">
        <v>0.38</v>
      </c>
      <c r="S29" s="153">
        <v>0.38</v>
      </c>
      <c r="T29" s="85">
        <v>0.38</v>
      </c>
      <c r="U29" s="85">
        <v>0.38</v>
      </c>
      <c r="V29" s="85">
        <v>0.38</v>
      </c>
      <c r="W29" s="85">
        <v>0.38</v>
      </c>
      <c r="X29" s="85">
        <v>0.38</v>
      </c>
      <c r="Y29" s="85">
        <v>0.38</v>
      </c>
      <c r="Z29" s="153">
        <v>0.38</v>
      </c>
      <c r="AA29" s="153">
        <v>0.38</v>
      </c>
      <c r="AB29" s="153">
        <v>0.38</v>
      </c>
      <c r="AC29" s="153">
        <v>0.38</v>
      </c>
      <c r="AD29" s="153">
        <v>0.38</v>
      </c>
      <c r="AE29" s="153">
        <v>0.38</v>
      </c>
      <c r="AF29" s="85">
        <v>0.38</v>
      </c>
      <c r="AG29" s="85">
        <v>0.38</v>
      </c>
      <c r="AH29" s="85">
        <v>0.38</v>
      </c>
      <c r="AI29" s="85">
        <v>0.38</v>
      </c>
      <c r="AJ29" s="85">
        <v>0.38</v>
      </c>
      <c r="AK29" s="85">
        <v>0.38</v>
      </c>
      <c r="AL29" s="153">
        <v>0.38</v>
      </c>
      <c r="AM29" s="153">
        <v>0.38</v>
      </c>
      <c r="AN29" s="153">
        <v>0.38</v>
      </c>
      <c r="AO29" s="153">
        <v>0.38</v>
      </c>
      <c r="AP29" s="85"/>
      <c r="AQ29" s="188">
        <v>0.38</v>
      </c>
      <c r="AR29" s="187">
        <v>0.38</v>
      </c>
      <c r="AS29" s="186">
        <v>0.38</v>
      </c>
      <c r="AT29" s="85"/>
      <c r="AU29" s="85"/>
      <c r="AV29" s="85"/>
    </row>
    <row r="30" spans="3:48" s="25" customFormat="1" ht="25" customHeight="1">
      <c r="C30" s="25" t="s">
        <v>575</v>
      </c>
      <c r="D30" s="262"/>
      <c r="F30" s="255" t="s">
        <v>556</v>
      </c>
      <c r="G30" s="85"/>
      <c r="H30" s="85"/>
      <c r="I30" s="85"/>
      <c r="J30" s="85"/>
      <c r="K30" s="85"/>
      <c r="L30" s="85"/>
      <c r="M30" s="85"/>
      <c r="N30" s="153"/>
      <c r="O30" s="153"/>
      <c r="P30" s="153"/>
      <c r="Q30" s="153"/>
      <c r="R30" s="153"/>
      <c r="S30" s="153"/>
      <c r="T30" s="85"/>
      <c r="U30" s="85"/>
      <c r="V30" s="85"/>
      <c r="W30" s="85"/>
      <c r="X30" s="85"/>
      <c r="Y30" s="85"/>
      <c r="Z30" s="153"/>
      <c r="AA30" s="153"/>
      <c r="AB30" s="153"/>
      <c r="AC30" s="153"/>
      <c r="AD30" s="153"/>
      <c r="AE30" s="153"/>
      <c r="AF30" s="85"/>
      <c r="AG30" s="85"/>
      <c r="AH30" s="85"/>
      <c r="AI30" s="85"/>
      <c r="AJ30" s="85"/>
      <c r="AK30" s="85"/>
      <c r="AL30" s="153"/>
      <c r="AM30" s="153"/>
      <c r="AN30" s="153"/>
      <c r="AO30" s="153"/>
      <c r="AP30" s="85"/>
      <c r="AQ30" s="188"/>
      <c r="AR30" s="187"/>
      <c r="AS30" s="186"/>
      <c r="AT30" s="85"/>
      <c r="AU30" s="85"/>
      <c r="AV30" s="85"/>
    </row>
    <row r="31" spans="3:48" s="25" customFormat="1" ht="25" customHeight="1">
      <c r="D31" s="262" t="s">
        <v>447</v>
      </c>
      <c r="F31" s="258" t="s">
        <v>447</v>
      </c>
      <c r="G31" s="191">
        <v>0</v>
      </c>
      <c r="H31" s="83">
        <f>G35</f>
        <v>46.913580246913575</v>
      </c>
      <c r="I31" s="83">
        <f>H35</f>
        <v>52.461111111111094</v>
      </c>
      <c r="J31" s="83">
        <f>I35</f>
        <v>34.735108024691357</v>
      </c>
      <c r="K31" s="83">
        <f>J35</f>
        <v>12.628732638888891</v>
      </c>
      <c r="L31" s="83">
        <f>K35</f>
        <v>7.1034756462191311</v>
      </c>
      <c r="M31" s="83">
        <f>L35</f>
        <v>13.226911725260408</v>
      </c>
      <c r="N31" s="150">
        <f>M35</f>
        <v>19.503433706277718</v>
      </c>
      <c r="O31" s="150">
        <f>N35</f>
        <v>25.936868736820461</v>
      </c>
      <c r="P31" s="150">
        <f>O35</f>
        <v>32.531139643126764</v>
      </c>
      <c r="Q31" s="150">
        <f>P35</f>
        <v>38.306264485451393</v>
      </c>
      <c r="R31" s="150">
        <f>Q35</f>
        <v>38.874503179736926</v>
      </c>
      <c r="S31" s="150">
        <f>R35</f>
        <v>34.991286125257773</v>
      </c>
      <c r="T31" s="83">
        <f>S35</f>
        <v>31.361464770482328</v>
      </c>
      <c r="U31" s="83">
        <f>T35</f>
        <v>32.0104695524128</v>
      </c>
      <c r="V31" s="83">
        <f>U35</f>
        <v>36.729842611007733</v>
      </c>
      <c r="W31" s="83">
        <f>V35</f>
        <v>41.688728649665968</v>
      </c>
      <c r="X31" s="83">
        <f>W35</f>
        <v>43.244386651484504</v>
      </c>
      <c r="Y31" s="83">
        <f>X35</f>
        <v>41.202360127303763</v>
      </c>
      <c r="Z31" s="150">
        <f>Y35</f>
        <v>38.647187132999299</v>
      </c>
      <c r="AA31" s="150">
        <f>Z35</f>
        <v>38.838957385258297</v>
      </c>
      <c r="AB31" s="150">
        <f>AA35</f>
        <v>42.262230691562102</v>
      </c>
      <c r="AC31" s="150">
        <f>AB35</f>
        <v>46.468054313982897</v>
      </c>
      <c r="AD31" s="150">
        <f>AC35</f>
        <v>48.571954092459102</v>
      </c>
      <c r="AE31" s="150">
        <f>AD35</f>
        <v>47.894110295778631</v>
      </c>
      <c r="AF31" s="83">
        <f>AE35</f>
        <v>46.351341825617176</v>
      </c>
      <c r="AG31" s="83">
        <f>AF35</f>
        <v>46.472932527794434</v>
      </c>
      <c r="AH31" s="83">
        <f>AG35</f>
        <v>49.06367210232645</v>
      </c>
      <c r="AI31" s="83">
        <f>AH35</f>
        <v>52.652653725338624</v>
      </c>
      <c r="AJ31" s="83">
        <f>AI35</f>
        <v>55.045335253722655</v>
      </c>
      <c r="AK31" s="83">
        <f>AJ35</f>
        <v>55.371682981907675</v>
      </c>
      <c r="AL31" s="150">
        <f>AK35</f>
        <v>54.737460736571805</v>
      </c>
      <c r="AM31" s="150">
        <f>AL35</f>
        <v>55.032190022944768</v>
      </c>
      <c r="AN31" s="150">
        <f>AM35</f>
        <v>57.150950429372259</v>
      </c>
      <c r="AO31" s="150"/>
      <c r="AP31" s="83"/>
      <c r="AQ31" s="176"/>
      <c r="AR31" s="172"/>
      <c r="AS31" s="171"/>
      <c r="AT31" s="83"/>
      <c r="AU31" s="83"/>
      <c r="AV31" s="83"/>
    </row>
    <row r="32" spans="3:48" s="25" customFormat="1" ht="25" customHeight="1">
      <c r="D32" s="262" t="s">
        <v>576</v>
      </c>
      <c r="F32" s="258" t="s">
        <v>446</v>
      </c>
      <c r="G32" s="191"/>
      <c r="H32" s="83">
        <f>H31+H33-(H34+H39)</f>
        <v>52.461111111111094</v>
      </c>
      <c r="I32" s="83">
        <f>I31+I33-(I34+I39)</f>
        <v>34.735108024691357</v>
      </c>
      <c r="J32" s="83">
        <f>J31+J33-(J34+J39)</f>
        <v>12.628732638888891</v>
      </c>
      <c r="K32" s="83">
        <f>K31+K33-(K34+K39)</f>
        <v>7.1034756462191311</v>
      </c>
      <c r="L32" s="83">
        <f>L31+L33-(L34+L39)</f>
        <v>13.226911725260408</v>
      </c>
      <c r="M32" s="83">
        <f>M31+M33-(M34+M39)</f>
        <v>19.503433706277718</v>
      </c>
      <c r="N32" s="83">
        <f>N31+N33-(N34+N39)</f>
        <v>25.936868736820461</v>
      </c>
      <c r="O32" s="83">
        <f>O31+O33-(O34+O39)</f>
        <v>32.531139643126764</v>
      </c>
      <c r="P32" s="83">
        <f>P31+P33-(P34+P39)</f>
        <v>38.306264485451393</v>
      </c>
      <c r="Q32" s="83">
        <f>Q31+Q33-(Q34+Q39)</f>
        <v>38.874503179736926</v>
      </c>
      <c r="R32" s="83">
        <f>R31+R33-(R34+R39)</f>
        <v>34.991286125257773</v>
      </c>
      <c r="S32" s="83">
        <f>S31+S33-(S34+S39)</f>
        <v>31.361464770482328</v>
      </c>
      <c r="T32" s="83">
        <f>T31+T33-(T34+T39)</f>
        <v>32.0104695524128</v>
      </c>
      <c r="U32" s="83">
        <f>U31+U33-(U34+U39)</f>
        <v>36.729842611007733</v>
      </c>
      <c r="V32" s="83">
        <f>V31+V33-(V34+V39)</f>
        <v>41.688728649665968</v>
      </c>
      <c r="W32" s="83">
        <f>W31+W33-(W34+W39)</f>
        <v>43.244386651484504</v>
      </c>
      <c r="X32" s="83">
        <f>X31+X33-(X34+X39)</f>
        <v>41.202360127303763</v>
      </c>
      <c r="Y32" s="83">
        <f>Y31+Y33-(Y34+Y39)</f>
        <v>38.647187132999299</v>
      </c>
      <c r="Z32" s="83">
        <f>Z31+Z33-(Z34+Z39)</f>
        <v>38.838957385258297</v>
      </c>
      <c r="AA32" s="83">
        <f>AA31+AA33-(AA34+AA39)</f>
        <v>42.262230691562102</v>
      </c>
      <c r="AB32" s="83">
        <f>AB31+AB33-(AB34+AB39)</f>
        <v>46.468054313982897</v>
      </c>
      <c r="AC32" s="83">
        <f>AC31+AC33-(AC34+AC39)</f>
        <v>48.571954092459102</v>
      </c>
      <c r="AD32" s="83">
        <f>AD31+AD33-(AD34+AD39)</f>
        <v>47.894110295778631</v>
      </c>
      <c r="AE32" s="83">
        <f>AE31+AE33-(AE34+AE39)</f>
        <v>46.351341825617176</v>
      </c>
      <c r="AF32" s="83">
        <f>AF31+AF33-(AF34+AF39)</f>
        <v>46.472932527794434</v>
      </c>
      <c r="AG32" s="83">
        <f>AG31+AG33-(AG34+AG39)</f>
        <v>49.06367210232645</v>
      </c>
      <c r="AH32" s="83">
        <f>AH31+AH33-(AH34+AH39)</f>
        <v>52.652653725338624</v>
      </c>
      <c r="AI32" s="83">
        <f>AI31+AI33-(AI34+AI39)</f>
        <v>55.045335253722655</v>
      </c>
      <c r="AJ32" s="83">
        <f>AJ31+AJ33-(AJ34+AJ39)</f>
        <v>55.371682981907675</v>
      </c>
      <c r="AK32" s="83">
        <f>AK31+AK33-(AK34+AK39)</f>
        <v>54.737460736571805</v>
      </c>
      <c r="AL32" s="83">
        <f>AL31+AL33-(AL34+AL39)</f>
        <v>55.032190022944768</v>
      </c>
      <c r="AM32" s="83">
        <f>AM31+AM33-(AM34+AM39)</f>
        <v>57.150950429372259</v>
      </c>
      <c r="AN32" s="83">
        <f>AN31+AN33-(AN34+AN39)</f>
        <v>60.289016354797639</v>
      </c>
      <c r="AO32" s="83">
        <f>AO31+AO33-(AO34+AO39)</f>
        <v>-47.209982999437848</v>
      </c>
      <c r="AP32" s="83"/>
      <c r="AQ32" s="176"/>
      <c r="AR32" s="172"/>
      <c r="AS32" s="171"/>
      <c r="AT32" s="83"/>
      <c r="AU32" s="83"/>
      <c r="AV32" s="83"/>
    </row>
    <row r="33" spans="2:49" s="25" customFormat="1" ht="25" customHeight="1">
      <c r="D33" s="262" t="s">
        <v>577</v>
      </c>
      <c r="F33" s="81" t="s">
        <v>450</v>
      </c>
      <c r="G33" s="83">
        <f>(H23/(H36*(1-H44)))*H29</f>
        <v>46.913580246913575</v>
      </c>
      <c r="H33" s="83">
        <f>(I23/(I36*(1-I44)))*I29</f>
        <v>26.447530864197528</v>
      </c>
      <c r="I33" s="83">
        <f>(J23/(J36*(1-J44)))*J29</f>
        <v>27.108719135802467</v>
      </c>
      <c r="J33" s="83">
        <f>(K23/(K36*(1-K44)))*K29</f>
        <v>27.786437114197522</v>
      </c>
      <c r="K33" s="83">
        <f>(L23/(L36*(1-L44)))*L29</f>
        <v>28.481098042052459</v>
      </c>
      <c r="L33" s="83">
        <f>(M23/(M36*(1-M44)))*M29</f>
        <v>29.193125493103768</v>
      </c>
      <c r="M33" s="83">
        <f>(N23/(N36*(1-N44)))*N29</f>
        <v>29.922953630431362</v>
      </c>
      <c r="N33" s="150">
        <f>(O23/(O36*(1-O44)))*O29</f>
        <v>30.671027471192144</v>
      </c>
      <c r="O33" s="150">
        <f>(P23/(P36*(1-P44)))*P29</f>
        <v>31.437803157971945</v>
      </c>
      <c r="P33" s="150">
        <f>(Q23/(Q36*(1-Q44)))*Q29</f>
        <v>32.223748236921246</v>
      </c>
      <c r="Q33" s="150">
        <f>(R23/(R36*(1-R44)))*R29</f>
        <v>33.029341942844276</v>
      </c>
      <c r="R33" s="150">
        <f>(S23/(S36*(1-S44)))*S29</f>
        <v>33.85507549141537</v>
      </c>
      <c r="S33" s="150">
        <f>(T23/(T36*(1-T44)))*T29</f>
        <v>34.701452378700758</v>
      </c>
      <c r="T33" s="83">
        <f>(U23/(U36*(1-U44)))*U29</f>
        <v>35.568988688168275</v>
      </c>
      <c r="U33" s="83">
        <f>(V23/(V36*(1-V44)))*V29</f>
        <v>36.458213405372476</v>
      </c>
      <c r="V33" s="83">
        <f>(W23/(W36*(1-W44)))*W29</f>
        <v>37.369668740506789</v>
      </c>
      <c r="W33" s="83">
        <f>(X23/(X36*(1-X44)))*X29</f>
        <v>38.303910459019455</v>
      </c>
      <c r="X33" s="83">
        <f>(Y23/(Y36*(1-Y44)))*Y29</f>
        <v>39.261508220494939</v>
      </c>
      <c r="Y33" s="83">
        <f>(Z23/(Z36*(1-Z44)))*Z29</f>
        <v>40.243045926007312</v>
      </c>
      <c r="Z33" s="150">
        <f>(AA23/(AA36*(1-AA44)))*AA29</f>
        <v>41.249122074157491</v>
      </c>
      <c r="AA33" s="150">
        <f>(AB23/(AB36*(1-AB44)))*AB29</f>
        <v>42.28035012601142</v>
      </c>
      <c r="AB33" s="150">
        <f>(AC23/(AC36*(1-AC44)))*AC29</f>
        <v>43.337358879161705</v>
      </c>
      <c r="AC33" s="150">
        <f>(AD23/(AD36*(1-AD44)))*AD29</f>
        <v>44.420792851140746</v>
      </c>
      <c r="AD33" s="150">
        <f>(AE23/(AE36*(1-AE44)))*AE29</f>
        <v>45.531312672419254</v>
      </c>
      <c r="AE33" s="150">
        <f>(AF23/(AF36*(1-AF44)))*AF29</f>
        <v>46.669595489229735</v>
      </c>
      <c r="AF33" s="83">
        <f>(AG23/(AG36*(1-AG44)))*AG29</f>
        <v>47.836335376460475</v>
      </c>
      <c r="AG33" s="83">
        <f>(AH23/(AH36*(1-AH44)))*AH29</f>
        <v>49.032243760871985</v>
      </c>
      <c r="AH33" s="83">
        <f>(AI23/(AI36*(1-AI44)))*AI29</f>
        <v>50.258049854893784</v>
      </c>
      <c r="AI33" s="83">
        <f>(AJ23/(AJ36*(1-AJ44)))*AJ29</f>
        <v>51.51450110126612</v>
      </c>
      <c r="AJ33" s="83">
        <f>(AK23/(AK36*(1-AK44)))*AK29</f>
        <v>52.802363628797771</v>
      </c>
      <c r="AK33" s="83">
        <f>(AL23/(AL36*(1-AL44)))*AL29</f>
        <v>54.122422719517708</v>
      </c>
      <c r="AL33" s="150">
        <f>(AM23/(AM36*(1-AM44)))*AM29</f>
        <v>55.475483287505647</v>
      </c>
      <c r="AM33" s="150">
        <f>(AN23/(AN36*(1-AN44)))*AN29</f>
        <v>56.862370369693288</v>
      </c>
      <c r="AN33" s="150">
        <f>(AO23/(AO36*(1-AO44)))*AO29</f>
        <v>58.283929628935603</v>
      </c>
      <c r="AO33" s="150"/>
      <c r="AP33" s="83"/>
      <c r="AQ33" s="176">
        <f>SUM(H33:M33)</f>
        <v>168.9398642797851</v>
      </c>
      <c r="AR33" s="172">
        <f>SUM(N33:Y33)</f>
        <v>423.12378411861494</v>
      </c>
      <c r="AS33" s="171">
        <f>SUM(Z33:AK33)</f>
        <v>569.05444853392817</v>
      </c>
      <c r="AT33" s="83"/>
      <c r="AU33" s="83"/>
      <c r="AV33" s="83"/>
    </row>
    <row r="34" spans="2:49" s="25" customFormat="1" ht="25" customHeight="1">
      <c r="D34" s="262" t="s">
        <v>578</v>
      </c>
      <c r="F34" s="81" t="s">
        <v>449</v>
      </c>
      <c r="G34" s="83">
        <v>0</v>
      </c>
      <c r="H34" s="195">
        <f>MIN(H24*H29, G35+H33)</f>
        <v>20.900000000000002</v>
      </c>
      <c r="I34" s="195">
        <f>MIN(I24*I29, H35+I33)</f>
        <v>21.422499999999999</v>
      </c>
      <c r="J34" s="195">
        <f>MIN(J24*J29, I35+J33)</f>
        <v>21.9580625</v>
      </c>
      <c r="K34" s="195">
        <f>MIN(K24*K29, J35+K33)</f>
        <v>22.507014062499994</v>
      </c>
      <c r="L34" s="195">
        <f>MIN(L24*L29, K35+L33)</f>
        <v>23.069689414062495</v>
      </c>
      <c r="M34" s="195">
        <f>MIN(M24*M29, L35+M33)</f>
        <v>23.646431649414055</v>
      </c>
      <c r="N34" s="195">
        <f>MIN(N24*N29, M35+N33)</f>
        <v>24.237592440649404</v>
      </c>
      <c r="O34" s="195">
        <f>MIN(O24*O29, N35+O33)</f>
        <v>24.843532251665639</v>
      </c>
      <c r="P34" s="195">
        <f>MIN(P24*P29, O35+P33)</f>
        <v>25.464620557957279</v>
      </c>
      <c r="Q34" s="195">
        <f>MIN(Q24*Q29, P35+Q33)</f>
        <v>26.101236071906211</v>
      </c>
      <c r="R34" s="195">
        <f>MIN(R24*R29, Q35+R33)</f>
        <v>26.753766973703861</v>
      </c>
      <c r="S34" s="195">
        <f>MIN(S24*S29, R35+S33)</f>
        <v>27.422611148046453</v>
      </c>
      <c r="T34" s="195">
        <f>MIN(T24*T29, S35+T33)</f>
        <v>28.108176426747615</v>
      </c>
      <c r="U34" s="195">
        <f>MIN(U24*U29, T35+U33)</f>
        <v>28.810880837416303</v>
      </c>
      <c r="V34" s="195">
        <f>MIN(V24*V29, U35+V33)</f>
        <v>29.531152858351707</v>
      </c>
      <c r="W34" s="195">
        <f>MIN(W24*W29, V35+W33)</f>
        <v>30.269431679810499</v>
      </c>
      <c r="X34" s="195">
        <f>MIN(X24*X29, W35+X33)</f>
        <v>31.02616747180576</v>
      </c>
      <c r="Y34" s="195">
        <f>MIN(Y24*Y29, X35+Y33)</f>
        <v>31.801821658600904</v>
      </c>
      <c r="Z34" s="195">
        <f>MIN(Z24*Z29, Y35+Z33)</f>
        <v>32.596867200065923</v>
      </c>
      <c r="AA34" s="195">
        <f>MIN(AA24*AA29, Z35+AA33)</f>
        <v>33.411788880067569</v>
      </c>
      <c r="AB34" s="195">
        <f>MIN(AB24*AB29, AA35+AB33)</f>
        <v>34.247083602069253</v>
      </c>
      <c r="AC34" s="195">
        <f>MIN(AC24*AC29, AB35+AC33)</f>
        <v>35.103260692120983</v>
      </c>
      <c r="AD34" s="195">
        <f>MIN(AD24*AD29, AC35+AD33)</f>
        <v>35.980842209424004</v>
      </c>
      <c r="AE34" s="195">
        <f>MIN(AE24*AE29, AD35+AE33)</f>
        <v>36.8803632646596</v>
      </c>
      <c r="AF34" s="195">
        <f>MIN(AF24*AF29, AE35+AF33)</f>
        <v>37.802372346276087</v>
      </c>
      <c r="AG34" s="195">
        <f>MIN(AG24*AG29, AF35+AG33)</f>
        <v>38.747431654932988</v>
      </c>
      <c r="AH34" s="195">
        <f>MIN(AH24*AH29, AG35+AH33)</f>
        <v>39.716117446306306</v>
      </c>
      <c r="AI34" s="195">
        <f>MIN(AI24*AI29, AH35+AI33)</f>
        <v>40.709020382463962</v>
      </c>
      <c r="AJ34" s="195">
        <f>MIN(AJ24*AJ29, AI35+AJ33)</f>
        <v>41.726745892025562</v>
      </c>
      <c r="AK34" s="195">
        <f>MIN(AK24*AK29, AJ35+AK33)</f>
        <v>42.769914539326194</v>
      </c>
      <c r="AL34" s="195">
        <f>MIN(AL24*AL29, AK35+AL33)</f>
        <v>43.839162402809343</v>
      </c>
      <c r="AM34" s="195">
        <f>MIN(AM24*AM29, AL35+AM33)</f>
        <v>44.935141462879578</v>
      </c>
      <c r="AN34" s="195">
        <f>MIN(AN24*AN29, AM35+AN33)</f>
        <v>46.058519999451562</v>
      </c>
      <c r="AO34" s="195">
        <f>MIN(AO24*AO29, AN35+AO33)</f>
        <v>47.209982999437848</v>
      </c>
      <c r="AP34" s="83"/>
      <c r="AQ34" s="176">
        <f>SUM(H34:M34)</f>
        <v>133.50369762597654</v>
      </c>
      <c r="AR34" s="172">
        <f>SUM(N34:Y34)</f>
        <v>334.37099037666161</v>
      </c>
      <c r="AS34" s="171">
        <f>SUM(Z34:AK34)</f>
        <v>449.69180810973842</v>
      </c>
      <c r="AT34" s="83"/>
      <c r="AU34" s="83"/>
      <c r="AV34" s="83"/>
    </row>
    <row r="35" spans="2:49" s="25" customFormat="1" ht="18">
      <c r="D35" s="262" t="s">
        <v>579</v>
      </c>
      <c r="F35" s="81" t="s">
        <v>448</v>
      </c>
      <c r="G35" s="83">
        <f>G33+G31-G34-G39</f>
        <v>46.913580246913575</v>
      </c>
      <c r="H35" s="83">
        <f>H33+H31-(H34+H39)</f>
        <v>52.461111111111094</v>
      </c>
      <c r="I35" s="83">
        <f>I33+I31-(I34+I39)</f>
        <v>34.735108024691357</v>
      </c>
      <c r="J35" s="83">
        <f>J33+J31-(J34+J39)</f>
        <v>12.628732638888891</v>
      </c>
      <c r="K35" s="83">
        <f>K33+K31-(K34+K39)</f>
        <v>7.1034756462191311</v>
      </c>
      <c r="L35" s="83">
        <f>L33+L31-(L34+L39)</f>
        <v>13.226911725260408</v>
      </c>
      <c r="M35" s="83">
        <f>M33+M31-(M34+M39)</f>
        <v>19.503433706277718</v>
      </c>
      <c r="N35" s="150">
        <f>N33+N31-(N34+N39)</f>
        <v>25.936868736820461</v>
      </c>
      <c r="O35" s="150">
        <f>O33+O31-(O34+O39)</f>
        <v>32.531139643126764</v>
      </c>
      <c r="P35" s="150">
        <f>P33+P31-(P34+P39)</f>
        <v>38.306264485451393</v>
      </c>
      <c r="Q35" s="150">
        <f>Q33+Q31-(Q34+Q39)</f>
        <v>38.874503179736926</v>
      </c>
      <c r="R35" s="150">
        <f>R33+R31-(R34+R39)</f>
        <v>34.991286125257773</v>
      </c>
      <c r="S35" s="150">
        <f>S33+S31-(S34+S39)</f>
        <v>31.361464770482328</v>
      </c>
      <c r="T35" s="83">
        <f>T33+T31-(T34+T39)</f>
        <v>32.0104695524128</v>
      </c>
      <c r="U35" s="83">
        <f>U33+U31-(U34+U39)</f>
        <v>36.729842611007733</v>
      </c>
      <c r="V35" s="83">
        <f>V33+V31-(V34+V39)</f>
        <v>41.688728649665968</v>
      </c>
      <c r="W35" s="83">
        <f>W33+W31-(W34+W39)</f>
        <v>43.244386651484504</v>
      </c>
      <c r="X35" s="83">
        <f>X33+X31-(X34+X39)</f>
        <v>41.202360127303763</v>
      </c>
      <c r="Y35" s="83">
        <f>Y33+Y31-(Y34+Y39)</f>
        <v>38.647187132999299</v>
      </c>
      <c r="Z35" s="150">
        <f>Z33+Z31-(Z34+Z39)</f>
        <v>38.838957385258297</v>
      </c>
      <c r="AA35" s="150">
        <f>AA33+AA31-(AA34+AA39)</f>
        <v>42.262230691562102</v>
      </c>
      <c r="AB35" s="150">
        <f>AB33+AB31-(AB34+AB39)</f>
        <v>46.468054313982897</v>
      </c>
      <c r="AC35" s="150">
        <f>AC33+AC31-(AC34+AC39)</f>
        <v>48.571954092459102</v>
      </c>
      <c r="AD35" s="150">
        <f>AD33+AD31-(AD34+AD39)</f>
        <v>47.894110295778631</v>
      </c>
      <c r="AE35" s="150">
        <f>AE33+AE31-(AE34+AE39)</f>
        <v>46.351341825617176</v>
      </c>
      <c r="AF35" s="83">
        <f>AF33+AF31-(AF34+AF39)</f>
        <v>46.472932527794434</v>
      </c>
      <c r="AG35" s="83">
        <f>AG33+AG31-(AG34+AG39)</f>
        <v>49.06367210232645</v>
      </c>
      <c r="AH35" s="83">
        <f>AH33+AH31-(AH34+AH39)</f>
        <v>52.652653725338624</v>
      </c>
      <c r="AI35" s="83">
        <f>AI33+AI31-(AI34+AI39)</f>
        <v>55.045335253722655</v>
      </c>
      <c r="AJ35" s="83">
        <f>AJ33+AJ31-(AJ34+AJ39)</f>
        <v>55.371682981907675</v>
      </c>
      <c r="AK35" s="83">
        <f>AK33+AK31-(AK34+AK39)</f>
        <v>54.737460736571805</v>
      </c>
      <c r="AL35" s="150">
        <f>AL33+AL31-(AL34+AL39)</f>
        <v>55.032190022944768</v>
      </c>
      <c r="AM35" s="150">
        <f>AM33+AM31-(AM34+AM39)</f>
        <v>57.150950429372259</v>
      </c>
      <c r="AN35" s="150">
        <f>AN33+AN31-(AN34+AN39)</f>
        <v>60.289016354797639</v>
      </c>
      <c r="AO35" s="150"/>
      <c r="AP35" s="83"/>
      <c r="AQ35" s="176">
        <f>SUM(H35:M35)</f>
        <v>139.65877285244861</v>
      </c>
      <c r="AR35" s="172">
        <f>SUM(N35:Y35)</f>
        <v>435.52450166574965</v>
      </c>
      <c r="AS35" s="171">
        <f>SUM(Z35:AK35)</f>
        <v>583.7303859323199</v>
      </c>
      <c r="AT35" s="83"/>
      <c r="AU35" s="83"/>
      <c r="AV35" s="83"/>
    </row>
    <row r="36" spans="2:49" s="25" customFormat="1" ht="25" customHeight="1">
      <c r="D36" s="262" t="s">
        <v>580</v>
      </c>
      <c r="F36" s="81" t="s">
        <v>273</v>
      </c>
      <c r="G36" s="85">
        <v>0.9</v>
      </c>
      <c r="H36" s="85">
        <v>0.9</v>
      </c>
      <c r="I36" s="85">
        <v>0.9</v>
      </c>
      <c r="J36" s="85">
        <v>0.9</v>
      </c>
      <c r="K36" s="85">
        <v>0.9</v>
      </c>
      <c r="L36" s="85">
        <v>0.9</v>
      </c>
      <c r="M36" s="85">
        <v>0.9</v>
      </c>
      <c r="N36" s="85">
        <v>0.9</v>
      </c>
      <c r="O36" s="85">
        <v>0.9</v>
      </c>
      <c r="P36" s="85">
        <v>0.9</v>
      </c>
      <c r="Q36" s="85">
        <v>0.9</v>
      </c>
      <c r="R36" s="85">
        <v>0.9</v>
      </c>
      <c r="S36" s="85">
        <v>0.9</v>
      </c>
      <c r="T36" s="85">
        <v>0.9</v>
      </c>
      <c r="U36" s="85">
        <v>0.9</v>
      </c>
      <c r="V36" s="85">
        <v>0.9</v>
      </c>
      <c r="W36" s="85">
        <v>0.9</v>
      </c>
      <c r="X36" s="85">
        <v>0.9</v>
      </c>
      <c r="Y36" s="85">
        <v>0.9</v>
      </c>
      <c r="Z36" s="85">
        <v>0.9</v>
      </c>
      <c r="AA36" s="85">
        <v>0.9</v>
      </c>
      <c r="AB36" s="85">
        <v>0.9</v>
      </c>
      <c r="AC36" s="85">
        <v>0.9</v>
      </c>
      <c r="AD36" s="85">
        <v>0.9</v>
      </c>
      <c r="AE36" s="85">
        <v>0.9</v>
      </c>
      <c r="AF36" s="85">
        <v>0.9</v>
      </c>
      <c r="AG36" s="85">
        <v>0.9</v>
      </c>
      <c r="AH36" s="85">
        <v>0.9</v>
      </c>
      <c r="AI36" s="85">
        <v>0.9</v>
      </c>
      <c r="AJ36" s="85">
        <v>0.9</v>
      </c>
      <c r="AK36" s="85">
        <v>0.9</v>
      </c>
      <c r="AL36" s="85">
        <v>0.9</v>
      </c>
      <c r="AM36" s="85">
        <v>0.9</v>
      </c>
      <c r="AN36" s="85">
        <v>0.9</v>
      </c>
      <c r="AO36" s="85">
        <v>0.9</v>
      </c>
      <c r="AP36" s="85"/>
      <c r="AQ36" s="188">
        <v>0.9</v>
      </c>
      <c r="AR36" s="187">
        <v>0.9</v>
      </c>
      <c r="AS36" s="186">
        <v>0.9</v>
      </c>
      <c r="AT36" s="85"/>
      <c r="AU36" s="85"/>
      <c r="AV36" s="85"/>
    </row>
    <row r="37" spans="2:49" s="25" customFormat="1" ht="25" customHeight="1">
      <c r="C37" s="25" t="s">
        <v>581</v>
      </c>
      <c r="D37" s="262"/>
      <c r="F37" s="260" t="s">
        <v>557</v>
      </c>
      <c r="G37" s="241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188"/>
      <c r="AR37" s="187"/>
      <c r="AS37" s="186"/>
      <c r="AT37" s="85"/>
      <c r="AU37" s="85"/>
      <c r="AV37" s="85"/>
    </row>
    <row r="38" spans="2:49" s="25" customFormat="1" ht="38">
      <c r="D38" s="262" t="s">
        <v>582</v>
      </c>
      <c r="E38" s="262" t="s">
        <v>583</v>
      </c>
      <c r="F38" s="259" t="s">
        <v>445</v>
      </c>
      <c r="G38" s="191">
        <v>0</v>
      </c>
      <c r="H38" s="195">
        <f>IF(H31-H34&lt;0, 0, H31-H34)</f>
        <v>26.013580246913573</v>
      </c>
      <c r="I38" s="195">
        <f>IF(I31-I34&lt;0, 0, I31-I34)</f>
        <v>31.038611111111095</v>
      </c>
      <c r="J38" s="195">
        <f>IF(J31-J34&lt;0, 0, J31-J34)</f>
        <v>12.777045524691356</v>
      </c>
      <c r="K38" s="195">
        <f>IF(K31-K34&lt;0, 0, K31-K34)</f>
        <v>0</v>
      </c>
      <c r="L38" s="195">
        <f>IF(L31-L34&lt;0, 0, L31-L34)</f>
        <v>0</v>
      </c>
      <c r="M38" s="195">
        <f>IF(M31-M34&lt;0, 0, M31-M34)</f>
        <v>0</v>
      </c>
      <c r="N38" s="195">
        <f>IF(N31-N34&lt;0, 0, N31-N34)</f>
        <v>0</v>
      </c>
      <c r="O38" s="195">
        <f>IF(O31-O34&lt;0, 0, O31-O34)</f>
        <v>1.093336485154822</v>
      </c>
      <c r="P38" s="195">
        <f>IF(P31-P34&lt;0, 0, P31-P34)</f>
        <v>7.0665190851694852</v>
      </c>
      <c r="Q38" s="195">
        <f>IF(Q31-Q34&lt;0, 0, Q31-Q34)</f>
        <v>12.205028413545183</v>
      </c>
      <c r="R38" s="195">
        <f>IF(R31-R34&lt;0, 0, R31-R34)</f>
        <v>12.120736206033065</v>
      </c>
      <c r="S38" s="195">
        <f>IF(S31-S34&lt;0, 0, S31-S34)</f>
        <v>7.5686749772113195</v>
      </c>
      <c r="T38" s="195">
        <f>IF(T31-T34&lt;0, 0, T31-T34)</f>
        <v>3.2532883437347131</v>
      </c>
      <c r="U38" s="195">
        <f>IF(U31-U34&lt;0, 0, U31-U34)</f>
        <v>3.1995887149964979</v>
      </c>
      <c r="V38" s="195">
        <f>IF(V31-V34&lt;0, 0, V31-V34)</f>
        <v>7.1986897526560263</v>
      </c>
      <c r="W38" s="195">
        <f>IF(W31-W34&lt;0, 0, W31-W34)</f>
        <v>11.41929696985547</v>
      </c>
      <c r="X38" s="195">
        <f>IF(X31-X34&lt;0, 0, X31-X34)</f>
        <v>12.218219179678744</v>
      </c>
      <c r="Y38" s="195">
        <f>IF(Y31-Y34&lt;0, 0, Y31-Y34)</f>
        <v>9.4005384687028588</v>
      </c>
      <c r="Z38" s="195">
        <f>IF(Z31-Z34&lt;0, 0, Z31-Z34)</f>
        <v>6.0503199329333768</v>
      </c>
      <c r="AA38" s="195">
        <f>IF(AA31-AA34&lt;0, 0, AA31-AA34)</f>
        <v>5.4271685051907284</v>
      </c>
      <c r="AB38" s="195">
        <f>IF(AB31-AB34&lt;0, 0, AB31-AB34)</f>
        <v>8.0151470894928494</v>
      </c>
      <c r="AC38" s="195">
        <f>IF(AC31-AC34&lt;0, 0, AC31-AC34)</f>
        <v>11.364793621861914</v>
      </c>
      <c r="AD38" s="195">
        <f>IF(AD31-AD34&lt;0, 0, AD31-AD34)</f>
        <v>12.591111883035097</v>
      </c>
      <c r="AE38" s="195">
        <f>IF(AE31-AE34&lt;0, 0, AE31-AE34)</f>
        <v>11.013747031119031</v>
      </c>
      <c r="AF38" s="195">
        <f>IF(AF31-AF34&lt;0, 0, AF31-AF34)</f>
        <v>8.5489694793410891</v>
      </c>
      <c r="AG38" s="195">
        <f>IF(AG31-AG34&lt;0, 0, AG31-AG34)</f>
        <v>7.7255008728614456</v>
      </c>
      <c r="AH38" s="195">
        <f>IF(AH31-AH34&lt;0, 0, AH31-AH34)</f>
        <v>9.3475546560201437</v>
      </c>
      <c r="AI38" s="195">
        <f>IF(AI31-AI34&lt;0, 0, AI31-AI34)</f>
        <v>11.943633342874662</v>
      </c>
      <c r="AJ38" s="195">
        <f>IF(AJ31-AJ34&lt;0, 0, AJ31-AJ34)</f>
        <v>13.318589361697093</v>
      </c>
      <c r="AK38" s="195">
        <f>IF(AK31-AK34&lt;0, 0, AK31-AK34)</f>
        <v>12.601768442581481</v>
      </c>
      <c r="AL38" s="195">
        <f>IF(AL31-AL34&lt;0, 0, AL31-AL34)</f>
        <v>10.898298333762462</v>
      </c>
      <c r="AM38" s="195">
        <f>IF(AM31-AM34&lt;0, 0, AM31-AM34)</f>
        <v>10.09704856006519</v>
      </c>
      <c r="AN38" s="195">
        <f>IF(AN31-AN34&lt;0, 0, AN31-AN34)</f>
        <v>11.092430429920697</v>
      </c>
      <c r="AO38" s="150"/>
      <c r="AP38" s="83"/>
      <c r="AQ38" s="176"/>
      <c r="AR38" s="172"/>
      <c r="AS38" s="171"/>
      <c r="AT38" s="83"/>
      <c r="AU38" s="83"/>
      <c r="AV38" s="83"/>
    </row>
    <row r="39" spans="2:49" s="25" customFormat="1" ht="25" customHeight="1">
      <c r="D39" s="262" t="s">
        <v>584</v>
      </c>
      <c r="F39" s="258" t="s">
        <v>444</v>
      </c>
      <c r="G39" s="196">
        <v>0</v>
      </c>
      <c r="H39" s="195">
        <f>G38*H43</f>
        <v>0</v>
      </c>
      <c r="I39" s="195">
        <f>H38*I43</f>
        <v>23.412222222222216</v>
      </c>
      <c r="J39" s="195">
        <f>I38*J43</f>
        <v>27.934749999999987</v>
      </c>
      <c r="K39" s="195">
        <f>J38*K43</f>
        <v>11.499340972222221</v>
      </c>
      <c r="L39" s="195">
        <f>K38*L43</f>
        <v>0</v>
      </c>
      <c r="M39" s="195">
        <f>L38*M43</f>
        <v>0</v>
      </c>
      <c r="N39" s="194">
        <f>M38*N43</f>
        <v>0</v>
      </c>
      <c r="O39" s="194">
        <f>N38*O43</f>
        <v>0</v>
      </c>
      <c r="P39" s="194">
        <f>O38*P43</f>
        <v>0.98400283663933974</v>
      </c>
      <c r="Q39" s="194">
        <f>P38*Q43</f>
        <v>6.3598671766525365</v>
      </c>
      <c r="R39" s="194">
        <f>Q38*R43</f>
        <v>10.984525572190664</v>
      </c>
      <c r="S39" s="194">
        <f>R38*S43</f>
        <v>10.908662585429759</v>
      </c>
      <c r="T39" s="195">
        <f>S38*T43</f>
        <v>6.8118074794901879</v>
      </c>
      <c r="U39" s="195">
        <f>T38*U43</f>
        <v>2.9279595093612421</v>
      </c>
      <c r="V39" s="195">
        <f>U38*V43</f>
        <v>2.8796298434968484</v>
      </c>
      <c r="W39" s="195">
        <f>V38*W43</f>
        <v>6.4788207773904238</v>
      </c>
      <c r="X39" s="195">
        <f>W38*X43</f>
        <v>10.277367272869924</v>
      </c>
      <c r="Y39" s="195">
        <f>X38*Y43</f>
        <v>10.99639726171087</v>
      </c>
      <c r="Z39" s="194">
        <f>Y38*Z43</f>
        <v>8.460484621832574</v>
      </c>
      <c r="AA39" s="194">
        <f>Z38*AA43</f>
        <v>5.4452879396400391</v>
      </c>
      <c r="AB39" s="194">
        <f>AA38*AB43</f>
        <v>4.8844516546716559</v>
      </c>
      <c r="AC39" s="194">
        <f>AB38*AC43</f>
        <v>7.2136323805435643</v>
      </c>
      <c r="AD39" s="194">
        <f>AC38*AD43</f>
        <v>10.228314259675722</v>
      </c>
      <c r="AE39" s="194">
        <f>AD38*AE43</f>
        <v>11.332000694731589</v>
      </c>
      <c r="AF39" s="195">
        <f>AE38*AF43</f>
        <v>9.9123723280071285</v>
      </c>
      <c r="AG39" s="195">
        <f>AF38*AG43</f>
        <v>7.69407253140698</v>
      </c>
      <c r="AH39" s="195">
        <f>AG38*AH43</f>
        <v>6.9529507855753012</v>
      </c>
      <c r="AI39" s="195">
        <f>AH38*AI43</f>
        <v>8.412799190418129</v>
      </c>
      <c r="AJ39" s="195">
        <f>AI38*AJ43</f>
        <v>10.749270008587196</v>
      </c>
      <c r="AK39" s="195">
        <f>AJ38*AK43</f>
        <v>11.986730425527384</v>
      </c>
      <c r="AL39" s="194">
        <f>AK38*AL43</f>
        <v>11.341591598323333</v>
      </c>
      <c r="AM39" s="194">
        <f>AL38*AM43</f>
        <v>9.8084685003862155</v>
      </c>
      <c r="AN39" s="194">
        <f>AM38*AN43</f>
        <v>9.0873437040586715</v>
      </c>
      <c r="AO39" s="194">
        <f>AN38*AO43</f>
        <v>0</v>
      </c>
      <c r="AP39" s="83"/>
      <c r="AQ39" s="176"/>
      <c r="AR39" s="172"/>
      <c r="AS39" s="171"/>
      <c r="AT39" s="83"/>
      <c r="AU39" s="83"/>
      <c r="AV39" s="83"/>
    </row>
    <row r="40" spans="2:49" s="25" customFormat="1" ht="18">
      <c r="D40" s="262" t="s">
        <v>585</v>
      </c>
      <c r="F40" s="258" t="s">
        <v>440</v>
      </c>
      <c r="G40" s="191"/>
      <c r="H40" s="82">
        <v>0.6</v>
      </c>
      <c r="I40" s="82">
        <v>0.6</v>
      </c>
      <c r="J40" s="82">
        <v>0.6</v>
      </c>
      <c r="K40" s="82">
        <v>0.6</v>
      </c>
      <c r="L40" s="82">
        <v>0.6</v>
      </c>
      <c r="M40" s="82">
        <v>0.6</v>
      </c>
      <c r="N40" s="151">
        <v>0.6</v>
      </c>
      <c r="O40" s="151">
        <v>0.6</v>
      </c>
      <c r="P40" s="151">
        <v>0.6</v>
      </c>
      <c r="Q40" s="151">
        <v>0.6</v>
      </c>
      <c r="R40" s="151">
        <v>0.6</v>
      </c>
      <c r="S40" s="151">
        <v>0.6</v>
      </c>
      <c r="T40" s="82">
        <v>0.6</v>
      </c>
      <c r="U40" s="82">
        <v>0.6</v>
      </c>
      <c r="V40" s="82">
        <v>0.6</v>
      </c>
      <c r="W40" s="82">
        <v>0.6</v>
      </c>
      <c r="X40" s="82">
        <v>0.6</v>
      </c>
      <c r="Y40" s="82">
        <v>0.6</v>
      </c>
      <c r="Z40" s="151">
        <v>0.6</v>
      </c>
      <c r="AA40" s="151">
        <v>0.6</v>
      </c>
      <c r="AB40" s="151">
        <v>0.6</v>
      </c>
      <c r="AC40" s="151">
        <v>0.6</v>
      </c>
      <c r="AD40" s="151">
        <v>0.6</v>
      </c>
      <c r="AE40" s="151">
        <v>0.6</v>
      </c>
      <c r="AF40" s="82">
        <v>0.6</v>
      </c>
      <c r="AG40" s="82">
        <v>0.6</v>
      </c>
      <c r="AH40" s="82">
        <v>0.6</v>
      </c>
      <c r="AI40" s="82">
        <v>0.6</v>
      </c>
      <c r="AJ40" s="82">
        <v>0.6</v>
      </c>
      <c r="AK40" s="82">
        <v>0.6</v>
      </c>
      <c r="AL40" s="151">
        <v>0.6</v>
      </c>
      <c r="AM40" s="151">
        <v>0.6</v>
      </c>
      <c r="AN40" s="151">
        <v>0.6</v>
      </c>
      <c r="AO40" s="151"/>
      <c r="AP40" s="83"/>
      <c r="AQ40" s="176"/>
      <c r="AR40" s="172"/>
      <c r="AS40" s="171"/>
      <c r="AT40" s="83"/>
      <c r="AU40" s="83"/>
      <c r="AV40" s="83"/>
    </row>
    <row r="41" spans="2:49" s="25" customFormat="1" ht="25" customHeight="1">
      <c r="D41" s="262" t="s">
        <v>586</v>
      </c>
      <c r="F41" s="258" t="s">
        <v>443</v>
      </c>
      <c r="G41" s="192"/>
      <c r="H41" s="191">
        <v>0</v>
      </c>
      <c r="I41" s="86">
        <f>I39*(1-I40)</f>
        <v>9.3648888888888866</v>
      </c>
      <c r="J41" s="86">
        <f>I38*(1-I40)*I43</f>
        <v>11.173899999999996</v>
      </c>
      <c r="K41" s="86">
        <f>J38*(1-J40)*J43</f>
        <v>4.5997363888888891</v>
      </c>
      <c r="L41" s="86">
        <f>K38*(1-K40)*K43</f>
        <v>0</v>
      </c>
      <c r="M41" s="86">
        <f>L38*(1-L40)*L43</f>
        <v>0</v>
      </c>
      <c r="N41" s="154">
        <f>M38*(1-M40)*M43</f>
        <v>0</v>
      </c>
      <c r="O41" s="154">
        <f>N38*(1-N40)*N43</f>
        <v>0</v>
      </c>
      <c r="P41" s="154">
        <f>O38*(1-O40)*O43</f>
        <v>0.39360113465573593</v>
      </c>
      <c r="Q41" s="154">
        <f>P38*(1-P40)*P43</f>
        <v>2.5439468706610149</v>
      </c>
      <c r="R41" s="154">
        <f>Q38*(1-Q40)*Q43</f>
        <v>4.3938102288762657</v>
      </c>
      <c r="S41" s="154">
        <f>R38*(1-R40)*R43</f>
        <v>4.3634650341719041</v>
      </c>
      <c r="T41" s="86">
        <f>S38*(1-S40)*S43</f>
        <v>2.7247229917960754</v>
      </c>
      <c r="U41" s="86">
        <f>T38*(1-T40)*T43</f>
        <v>1.1711838037444968</v>
      </c>
      <c r="V41" s="86">
        <f>U38*(1-U40)*U43</f>
        <v>1.1518519373987393</v>
      </c>
      <c r="W41" s="86">
        <f>V38*(1-V40)*V43</f>
        <v>2.5915283109561695</v>
      </c>
      <c r="X41" s="86">
        <f>W38*(1-W40)*W43</f>
        <v>4.1109469091479696</v>
      </c>
      <c r="Y41" s="86">
        <f>X38*(1-X40)*X43</f>
        <v>4.3985589046843483</v>
      </c>
      <c r="Z41" s="154">
        <f>Y38*(1-Y40)*Y43</f>
        <v>3.3841938487330294</v>
      </c>
      <c r="AA41" s="154">
        <f>Z38*(1-Z40)*Z43</f>
        <v>2.1781151758560156</v>
      </c>
      <c r="AB41" s="154">
        <f>AA38*(1-AA40)*AA43</f>
        <v>1.9537806618686622</v>
      </c>
      <c r="AC41" s="154">
        <f>AB38*(1-AB40)*AB43</f>
        <v>2.8854529522174261</v>
      </c>
      <c r="AD41" s="154">
        <f>AC38*(1-AC40)*AC43</f>
        <v>4.0913257038702895</v>
      </c>
      <c r="AE41" s="154">
        <f>AD38*(1-AD40)*AD43</f>
        <v>4.5328002778926351</v>
      </c>
      <c r="AF41" s="86">
        <f>AE38*(1-AE40)*AE43</f>
        <v>3.9649489312028519</v>
      </c>
      <c r="AG41" s="86">
        <f>AF38*(1-AF40)*AF43</f>
        <v>3.0776290125627925</v>
      </c>
      <c r="AH41" s="86">
        <f>AG38*(1-AG40)*AG43</f>
        <v>2.7811803142301206</v>
      </c>
      <c r="AI41" s="86">
        <f>AH38*(1-AH40)*AH43</f>
        <v>3.3651196761672519</v>
      </c>
      <c r="AJ41" s="86">
        <f>AI38*(1-AI40)*AI43</f>
        <v>4.2997080034348789</v>
      </c>
      <c r="AK41" s="86">
        <f>AJ38*(1-AJ40)*AJ43</f>
        <v>4.7946921702109533</v>
      </c>
      <c r="AL41" s="154">
        <f>AK38*(1-AK40)*AK43</f>
        <v>4.536636639329334</v>
      </c>
      <c r="AM41" s="154">
        <f>AL38*(1-AL40)*AL43</f>
        <v>3.9233874001544864</v>
      </c>
      <c r="AN41" s="154">
        <f>AM38*(1-AM40)*AM43</f>
        <v>3.6349374816234681</v>
      </c>
      <c r="AO41" s="154">
        <f>AN38*(1-AN40)*AN43</f>
        <v>3.9932749547714508</v>
      </c>
      <c r="AP41" s="87"/>
      <c r="AQ41" s="176"/>
      <c r="AR41" s="172"/>
      <c r="AS41" s="171"/>
      <c r="AT41" s="83"/>
      <c r="AU41" s="83"/>
      <c r="AV41" s="83"/>
      <c r="AW41" s="83"/>
    </row>
    <row r="42" spans="2:49" s="25" customFormat="1" ht="25" customHeight="1">
      <c r="D42" s="262" t="s">
        <v>442</v>
      </c>
      <c r="F42" s="258" t="s">
        <v>442</v>
      </c>
      <c r="G42" s="192"/>
      <c r="H42" s="193">
        <v>0</v>
      </c>
      <c r="I42" s="87">
        <f>I41-H38</f>
        <v>-16.648691358024685</v>
      </c>
      <c r="J42" s="87">
        <f>J41-I38</f>
        <v>-19.864711111111099</v>
      </c>
      <c r="K42" s="87">
        <f>K41-J38</f>
        <v>-8.1773091358024672</v>
      </c>
      <c r="L42" s="87">
        <f>L41-K38</f>
        <v>0</v>
      </c>
      <c r="M42" s="87">
        <f>M41-L38</f>
        <v>0</v>
      </c>
      <c r="N42" s="155">
        <f>N41-M38</f>
        <v>0</v>
      </c>
      <c r="O42" s="155">
        <f>O41-N38</f>
        <v>0</v>
      </c>
      <c r="P42" s="155">
        <f>P41-O38</f>
        <v>-0.69973535049908597</v>
      </c>
      <c r="Q42" s="155">
        <f>Q41-P38</f>
        <v>-4.5225722145084699</v>
      </c>
      <c r="R42" s="155">
        <f>R41-Q38</f>
        <v>-7.8112181846689168</v>
      </c>
      <c r="S42" s="155">
        <f>S41-R38</f>
        <v>-7.7572711718611611</v>
      </c>
      <c r="T42" s="87">
        <f>T41-S38</f>
        <v>-4.8439519854152442</v>
      </c>
      <c r="U42" s="87">
        <f>U41-T38</f>
        <v>-2.0821045399902163</v>
      </c>
      <c r="V42" s="87">
        <f>V41-U38</f>
        <v>-2.0477367775977586</v>
      </c>
      <c r="W42" s="87">
        <f>W41-V38</f>
        <v>-4.6071614416998568</v>
      </c>
      <c r="X42" s="87">
        <f>X41-W38</f>
        <v>-7.3083500607075003</v>
      </c>
      <c r="Y42" s="87">
        <f>Y41-X38</f>
        <v>-7.819660274994396</v>
      </c>
      <c r="Z42" s="155">
        <f>Z41-Y38</f>
        <v>-6.0163446199698294</v>
      </c>
      <c r="AA42" s="155">
        <f>AA41-Z38</f>
        <v>-3.8722047570773612</v>
      </c>
      <c r="AB42" s="155">
        <f>AB41-AA38</f>
        <v>-3.4733878433220662</v>
      </c>
      <c r="AC42" s="155">
        <f>AC41-AB38</f>
        <v>-5.1296941372754237</v>
      </c>
      <c r="AD42" s="155">
        <f>AD41-AC38</f>
        <v>-7.2734679179916242</v>
      </c>
      <c r="AE42" s="155">
        <f>AE41-AD38</f>
        <v>-8.0583116051424621</v>
      </c>
      <c r="AF42" s="87">
        <f>AF41-AE38</f>
        <v>-7.0487980999161799</v>
      </c>
      <c r="AG42" s="87">
        <f>AG41-AF38</f>
        <v>-5.4713404667782966</v>
      </c>
      <c r="AH42" s="87">
        <f>AH41-AG38</f>
        <v>-4.9443205586313255</v>
      </c>
      <c r="AI42" s="87">
        <f>AI41-AH38</f>
        <v>-5.9824349798528917</v>
      </c>
      <c r="AJ42" s="87">
        <f>AJ41-AI38</f>
        <v>-7.6439253394397833</v>
      </c>
      <c r="AK42" s="87">
        <f>AK41-AJ38</f>
        <v>-8.5238971914861388</v>
      </c>
      <c r="AL42" s="155">
        <f>AL41-AK38</f>
        <v>-8.0651318032521466</v>
      </c>
      <c r="AM42" s="155">
        <f>AM41-AL38</f>
        <v>-6.9749109336079753</v>
      </c>
      <c r="AN42" s="155">
        <f>AN41-AM38</f>
        <v>-6.4621110784417217</v>
      </c>
      <c r="AO42" s="155">
        <f>AO41-AN38</f>
        <v>-7.0991554751492458</v>
      </c>
      <c r="AP42" s="83"/>
      <c r="AQ42" s="176"/>
      <c r="AR42" s="172"/>
      <c r="AS42" s="171"/>
      <c r="AT42" s="83"/>
      <c r="AU42" s="83"/>
      <c r="AV42" s="83"/>
      <c r="AW42" s="83"/>
    </row>
    <row r="43" spans="2:49" s="25" customFormat="1" ht="25" customHeight="1">
      <c r="D43" s="262" t="s">
        <v>587</v>
      </c>
      <c r="F43" s="258" t="s">
        <v>441</v>
      </c>
      <c r="G43" s="191">
        <v>0</v>
      </c>
      <c r="H43" s="82">
        <v>0.9</v>
      </c>
      <c r="I43" s="82">
        <v>0.9</v>
      </c>
      <c r="J43" s="82">
        <v>0.9</v>
      </c>
      <c r="K43" s="82">
        <v>0.9</v>
      </c>
      <c r="L43" s="82">
        <v>0.9</v>
      </c>
      <c r="M43" s="82">
        <v>0.9</v>
      </c>
      <c r="N43" s="151">
        <v>0.9</v>
      </c>
      <c r="O43" s="151">
        <v>0.9</v>
      </c>
      <c r="P43" s="151">
        <v>0.9</v>
      </c>
      <c r="Q43" s="151">
        <v>0.9</v>
      </c>
      <c r="R43" s="151">
        <v>0.9</v>
      </c>
      <c r="S43" s="151">
        <v>0.9</v>
      </c>
      <c r="T43" s="82">
        <v>0.9</v>
      </c>
      <c r="U43" s="82">
        <v>0.9</v>
      </c>
      <c r="V43" s="82">
        <v>0.9</v>
      </c>
      <c r="W43" s="82">
        <v>0.9</v>
      </c>
      <c r="X43" s="82">
        <v>0.9</v>
      </c>
      <c r="Y43" s="82">
        <v>0.9</v>
      </c>
      <c r="Z43" s="151">
        <v>0.9</v>
      </c>
      <c r="AA43" s="151">
        <v>0.9</v>
      </c>
      <c r="AB43" s="151">
        <v>0.9</v>
      </c>
      <c r="AC43" s="151">
        <v>0.9</v>
      </c>
      <c r="AD43" s="151">
        <v>0.9</v>
      </c>
      <c r="AE43" s="151">
        <v>0.9</v>
      </c>
      <c r="AF43" s="82">
        <v>0.9</v>
      </c>
      <c r="AG43" s="82">
        <v>0.9</v>
      </c>
      <c r="AH43" s="82">
        <v>0.9</v>
      </c>
      <c r="AI43" s="82">
        <v>0.9</v>
      </c>
      <c r="AJ43" s="82">
        <v>0.9</v>
      </c>
      <c r="AK43" s="82">
        <v>0.9</v>
      </c>
      <c r="AL43" s="151">
        <v>0.9</v>
      </c>
      <c r="AM43" s="151">
        <v>0.9</v>
      </c>
      <c r="AN43" s="151">
        <v>0.9</v>
      </c>
      <c r="AO43" s="151"/>
      <c r="AP43" s="83"/>
      <c r="AQ43" s="176"/>
      <c r="AR43" s="172"/>
      <c r="AS43" s="171"/>
      <c r="AT43" s="83"/>
      <c r="AU43" s="83"/>
      <c r="AV43" s="83"/>
    </row>
    <row r="44" spans="2:49" s="25" customFormat="1" ht="25" customHeight="1" thickBot="1">
      <c r="D44" s="262" t="s">
        <v>588</v>
      </c>
      <c r="F44" s="158" t="s">
        <v>274</v>
      </c>
      <c r="G44" s="190">
        <v>0.1</v>
      </c>
      <c r="H44" s="190">
        <v>0.1</v>
      </c>
      <c r="I44" s="190">
        <v>0.1</v>
      </c>
      <c r="J44" s="190">
        <v>0.1</v>
      </c>
      <c r="K44" s="190">
        <v>0.1</v>
      </c>
      <c r="L44" s="190">
        <v>0.1</v>
      </c>
      <c r="M44" s="190">
        <v>0.1</v>
      </c>
      <c r="N44" s="189">
        <v>0.1</v>
      </c>
      <c r="O44" s="189">
        <v>0.1</v>
      </c>
      <c r="P44" s="189">
        <v>0.1</v>
      </c>
      <c r="Q44" s="189">
        <v>0.1</v>
      </c>
      <c r="R44" s="189">
        <v>0.1</v>
      </c>
      <c r="S44" s="189">
        <v>0.1</v>
      </c>
      <c r="T44" s="190">
        <v>0.1</v>
      </c>
      <c r="U44" s="190">
        <v>0.1</v>
      </c>
      <c r="V44" s="190">
        <v>0.1</v>
      </c>
      <c r="W44" s="190">
        <v>0.1</v>
      </c>
      <c r="X44" s="190">
        <v>0.1</v>
      </c>
      <c r="Y44" s="190">
        <v>0.1</v>
      </c>
      <c r="Z44" s="189">
        <v>0.1</v>
      </c>
      <c r="AA44" s="189">
        <v>0.1</v>
      </c>
      <c r="AB44" s="189">
        <v>0.1</v>
      </c>
      <c r="AC44" s="189">
        <v>0.1</v>
      </c>
      <c r="AD44" s="189">
        <v>0.1</v>
      </c>
      <c r="AE44" s="189">
        <v>0.1</v>
      </c>
      <c r="AF44" s="190">
        <v>0.1</v>
      </c>
      <c r="AG44" s="190">
        <v>0.1</v>
      </c>
      <c r="AH44" s="190">
        <v>0.1</v>
      </c>
      <c r="AI44" s="190">
        <v>0.1</v>
      </c>
      <c r="AJ44" s="190">
        <v>0.1</v>
      </c>
      <c r="AK44" s="190">
        <v>0.1</v>
      </c>
      <c r="AL44" s="189">
        <v>0.1</v>
      </c>
      <c r="AM44" s="189">
        <v>0.1</v>
      </c>
      <c r="AN44" s="189">
        <v>0.1</v>
      </c>
      <c r="AO44" s="189">
        <v>0.1</v>
      </c>
      <c r="AP44" s="85"/>
      <c r="AQ44" s="188">
        <v>0.1</v>
      </c>
      <c r="AR44" s="187">
        <v>0.1</v>
      </c>
      <c r="AS44" s="186">
        <v>0.1</v>
      </c>
      <c r="AT44" s="85"/>
      <c r="AU44" s="85"/>
      <c r="AV44" s="85"/>
    </row>
    <row r="45" spans="2:49" s="25" customFormat="1" ht="25" customHeight="1" thickTop="1">
      <c r="B45" s="25" t="s">
        <v>542</v>
      </c>
      <c r="D45" s="262"/>
      <c r="F45" s="242" t="s">
        <v>543</v>
      </c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4"/>
      <c r="AQ45" s="245"/>
      <c r="AR45" s="246"/>
      <c r="AS45" s="246"/>
      <c r="AT45" s="85"/>
      <c r="AU45" s="85"/>
      <c r="AV45" s="85"/>
    </row>
    <row r="46" spans="2:49" s="25" customFormat="1" ht="25" customHeight="1">
      <c r="C46" s="25" t="s">
        <v>589</v>
      </c>
      <c r="D46" s="262"/>
      <c r="F46" s="260" t="s">
        <v>559</v>
      </c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4"/>
      <c r="AQ46" s="245"/>
      <c r="AR46" s="246"/>
      <c r="AS46" s="246"/>
      <c r="AT46" s="85"/>
      <c r="AU46" s="85"/>
      <c r="AV46" s="85"/>
    </row>
    <row r="47" spans="2:49" s="25" customFormat="1" ht="25" customHeight="1">
      <c r="D47" s="262" t="s">
        <v>590</v>
      </c>
      <c r="F47" s="81" t="s">
        <v>279</v>
      </c>
      <c r="G47" s="83">
        <f>H23/G48</f>
        <v>45.454545454545453</v>
      </c>
      <c r="H47" s="83">
        <f>I23/H48</f>
        <v>22.55</v>
      </c>
      <c r="I47" s="83">
        <f>J23/I48</f>
        <v>23.11375</v>
      </c>
      <c r="J47" s="83">
        <f>K23/J48</f>
        <v>23.691593749999996</v>
      </c>
      <c r="K47" s="83">
        <f>L23/K48</f>
        <v>24.283883593749994</v>
      </c>
      <c r="L47" s="83">
        <f>M23/L48</f>
        <v>24.890980683593742</v>
      </c>
      <c r="M47" s="83">
        <f>N23/M48</f>
        <v>25.513255200683581</v>
      </c>
      <c r="N47" s="150">
        <f>O23/N48</f>
        <v>21.792572150583894</v>
      </c>
      <c r="O47" s="150">
        <f>P23/O48</f>
        <v>22.33738645434849</v>
      </c>
      <c r="P47" s="150">
        <f>Q23/P48</f>
        <v>22.895821115707204</v>
      </c>
      <c r="Q47" s="150">
        <f>R23/Q48</f>
        <v>23.468216643599877</v>
      </c>
      <c r="R47" s="150">
        <f>S23/R48</f>
        <v>24.054922059689872</v>
      </c>
      <c r="S47" s="150">
        <f>T23/S48</f>
        <v>21.133967238156099</v>
      </c>
      <c r="T47" s="83">
        <f>U23/T48</f>
        <v>21.662316419110002</v>
      </c>
      <c r="U47" s="83">
        <f>V23/U48</f>
        <v>22.203874329587752</v>
      </c>
      <c r="V47" s="83">
        <f>W23/V48</f>
        <v>22.758971187827445</v>
      </c>
      <c r="W47" s="83">
        <f>X23/W48</f>
        <v>23.327945467523129</v>
      </c>
      <c r="X47" s="83">
        <f>Y23/X48</f>
        <v>23.911144104211207</v>
      </c>
      <c r="Y47" s="83">
        <f>Z23/Y48</f>
        <v>24.508922706816485</v>
      </c>
      <c r="Z47" s="150">
        <f>AA23/Z48</f>
        <v>25.121645774486893</v>
      </c>
      <c r="AA47" s="150">
        <f>AB23/AA48</f>
        <v>25.749686918849061</v>
      </c>
      <c r="AB47" s="150">
        <f>AC23/AB48</f>
        <v>26.393429091820288</v>
      </c>
      <c r="AC47" s="150">
        <f>AD23/AC48</f>
        <v>27.053264819115793</v>
      </c>
      <c r="AD47" s="150">
        <f>AE23/AD48</f>
        <v>27.729596439593685</v>
      </c>
      <c r="AE47" s="150">
        <f>AF23/AE48</f>
        <v>28.422836350583527</v>
      </c>
      <c r="AF47" s="83">
        <f>AG23/AF48</f>
        <v>29.133407259348111</v>
      </c>
      <c r="AG47" s="83">
        <f>AH23/AG48</f>
        <v>29.861742440831812</v>
      </c>
      <c r="AH47" s="83">
        <f>AI23/AH48</f>
        <v>30.608286001852605</v>
      </c>
      <c r="AI47" s="83">
        <f>AJ23/AI48</f>
        <v>31.373493151898916</v>
      </c>
      <c r="AJ47" s="83">
        <f>AK23/AJ48</f>
        <v>32.157830480696383</v>
      </c>
      <c r="AK47" s="83">
        <f>AL23/AK48</f>
        <v>32.961776242713789</v>
      </c>
      <c r="AL47" s="150">
        <f>AM23/AL48</f>
        <v>33.785820648781637</v>
      </c>
      <c r="AM47" s="150">
        <f>AN23/AM48</f>
        <v>34.630466165001174</v>
      </c>
      <c r="AN47" s="150">
        <f>AO23/AN48</f>
        <v>35.496227819126197</v>
      </c>
      <c r="AO47" s="150"/>
      <c r="AP47" s="83"/>
      <c r="AQ47" s="176">
        <f>SUM(H47:M47)</f>
        <v>144.04346322802732</v>
      </c>
      <c r="AR47" s="172">
        <f>SUM(N47:Y47)</f>
        <v>274.05605987716149</v>
      </c>
      <c r="AS47" s="171">
        <f>SUM(Z47:AK47)</f>
        <v>346.56699497179085</v>
      </c>
      <c r="AT47" s="83"/>
      <c r="AU47" s="83"/>
      <c r="AV47" s="83"/>
    </row>
    <row r="48" spans="2:49" s="25" customFormat="1" ht="25" customHeight="1">
      <c r="D48" s="262"/>
      <c r="E48" s="25" t="s">
        <v>591</v>
      </c>
      <c r="F48" s="185" t="s">
        <v>278</v>
      </c>
      <c r="G48" s="184">
        <v>2.2000000000000002</v>
      </c>
      <c r="H48" s="184">
        <v>2.5</v>
      </c>
      <c r="I48" s="184">
        <v>2.5</v>
      </c>
      <c r="J48" s="184">
        <v>2.5</v>
      </c>
      <c r="K48" s="184">
        <v>2.5</v>
      </c>
      <c r="L48" s="184">
        <v>2.5</v>
      </c>
      <c r="M48" s="184">
        <v>2.5</v>
      </c>
      <c r="N48" s="184">
        <v>3</v>
      </c>
      <c r="O48" s="184">
        <v>3</v>
      </c>
      <c r="P48" s="184">
        <v>3</v>
      </c>
      <c r="Q48" s="184">
        <v>3</v>
      </c>
      <c r="R48" s="184">
        <v>3</v>
      </c>
      <c r="S48" s="184">
        <v>3.5</v>
      </c>
      <c r="T48" s="184">
        <v>3.5</v>
      </c>
      <c r="U48" s="184">
        <v>3.5</v>
      </c>
      <c r="V48" s="184">
        <v>3.5</v>
      </c>
      <c r="W48" s="184">
        <v>3.5</v>
      </c>
      <c r="X48" s="184">
        <v>3.5</v>
      </c>
      <c r="Y48" s="184">
        <v>3.5</v>
      </c>
      <c r="Z48" s="184">
        <v>3.5</v>
      </c>
      <c r="AA48" s="184">
        <v>3.5</v>
      </c>
      <c r="AB48" s="184">
        <v>3.5</v>
      </c>
      <c r="AC48" s="184">
        <v>3.5</v>
      </c>
      <c r="AD48" s="184">
        <v>3.5</v>
      </c>
      <c r="AE48" s="184">
        <v>3.5</v>
      </c>
      <c r="AF48" s="184">
        <v>3.5</v>
      </c>
      <c r="AG48" s="184">
        <v>3.5</v>
      </c>
      <c r="AH48" s="184">
        <v>3.5</v>
      </c>
      <c r="AI48" s="184">
        <v>3.5</v>
      </c>
      <c r="AJ48" s="184">
        <v>3.5</v>
      </c>
      <c r="AK48" s="184">
        <v>3.5</v>
      </c>
      <c r="AL48" s="184">
        <v>3.5</v>
      </c>
      <c r="AM48" s="184">
        <v>3.5</v>
      </c>
      <c r="AN48" s="184">
        <v>3.5</v>
      </c>
      <c r="AO48" s="184">
        <v>3.5</v>
      </c>
      <c r="AP48" s="86"/>
      <c r="AQ48" s="183">
        <v>3</v>
      </c>
      <c r="AR48" s="182">
        <v>3</v>
      </c>
      <c r="AS48" s="181">
        <v>3</v>
      </c>
      <c r="AT48" s="86"/>
      <c r="AU48" s="86"/>
      <c r="AV48" s="86"/>
    </row>
    <row r="49" spans="3:48" s="25" customFormat="1" ht="25" customHeight="1">
      <c r="D49" s="262"/>
      <c r="E49" s="25" t="s">
        <v>592</v>
      </c>
      <c r="F49" s="257" t="s">
        <v>560</v>
      </c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86"/>
      <c r="AQ49" s="183"/>
      <c r="AR49" s="182"/>
      <c r="AS49" s="181"/>
      <c r="AT49" s="86"/>
      <c r="AU49" s="86"/>
      <c r="AV49" s="86"/>
    </row>
    <row r="50" spans="3:48" s="25" customFormat="1" ht="25" customHeight="1">
      <c r="D50" s="262"/>
      <c r="E50" s="25" t="s">
        <v>593</v>
      </c>
      <c r="F50" s="81" t="s">
        <v>377</v>
      </c>
      <c r="G50" s="83">
        <f>G47*15%</f>
        <v>6.8181818181818175</v>
      </c>
      <c r="H50" s="83">
        <f>H47*15%</f>
        <v>3.3824999999999998</v>
      </c>
      <c r="I50" s="83">
        <f>I47*15%</f>
        <v>3.4670624999999999</v>
      </c>
      <c r="J50" s="83">
        <f>J47*15%</f>
        <v>3.5537390624999992</v>
      </c>
      <c r="K50" s="83">
        <f>K47*15%</f>
        <v>3.6425825390624991</v>
      </c>
      <c r="L50" s="83">
        <f>L47*15%</f>
        <v>3.7336471025390612</v>
      </c>
      <c r="M50" s="83">
        <f>M47*15%</f>
        <v>3.8269882801025368</v>
      </c>
      <c r="N50" s="150">
        <f>N47*15%</f>
        <v>3.2688858225875839</v>
      </c>
      <c r="O50" s="150">
        <f>O47*15%</f>
        <v>3.3506079681522736</v>
      </c>
      <c r="P50" s="150">
        <f>P47*15%</f>
        <v>3.4343731673560804</v>
      </c>
      <c r="Q50" s="150">
        <f>Q47*15%</f>
        <v>3.5202324965399816</v>
      </c>
      <c r="R50" s="150">
        <f>R47*15%</f>
        <v>3.6082383089534806</v>
      </c>
      <c r="S50" s="150">
        <f>S47*15%</f>
        <v>3.1700950857234149</v>
      </c>
      <c r="T50" s="83">
        <f>T47*15%</f>
        <v>3.2493474628665004</v>
      </c>
      <c r="U50" s="83">
        <f>U47*15%</f>
        <v>3.3305811494381627</v>
      </c>
      <c r="V50" s="83">
        <f>V47*15%</f>
        <v>3.4138456781741167</v>
      </c>
      <c r="W50" s="83">
        <f>W47*15%</f>
        <v>3.4991918201284693</v>
      </c>
      <c r="X50" s="83">
        <f>X47*15%</f>
        <v>3.5866716156316811</v>
      </c>
      <c r="Y50" s="83">
        <f>Y47*15%</f>
        <v>3.6763384060224724</v>
      </c>
      <c r="Z50" s="150">
        <f>Z47*15%</f>
        <v>3.7682468661730337</v>
      </c>
      <c r="AA50" s="150">
        <f>AA47*15%</f>
        <v>3.8624530378273589</v>
      </c>
      <c r="AB50" s="150">
        <f>AB47*15%</f>
        <v>3.9590143637730431</v>
      </c>
      <c r="AC50" s="150">
        <f>AC47*15%</f>
        <v>4.0579897228673687</v>
      </c>
      <c r="AD50" s="150">
        <f>AD47*15%</f>
        <v>4.1594394659390526</v>
      </c>
      <c r="AE50" s="150">
        <f>AE47*15%</f>
        <v>4.263425452587529</v>
      </c>
      <c r="AF50" s="83">
        <f>AF47*15%</f>
        <v>4.3700110889022161</v>
      </c>
      <c r="AG50" s="83">
        <f>AG47*15%</f>
        <v>4.4792613661247715</v>
      </c>
      <c r="AH50" s="83">
        <f>AH47*15%</f>
        <v>4.5912429002778907</v>
      </c>
      <c r="AI50" s="83">
        <f>AI47*15%</f>
        <v>4.7060239727848376</v>
      </c>
      <c r="AJ50" s="83">
        <f>AJ47*15%</f>
        <v>4.8236745721044576</v>
      </c>
      <c r="AK50" s="83">
        <f>AK47*15%</f>
        <v>4.9442664364070685</v>
      </c>
      <c r="AL50" s="150">
        <f>AL47*15%</f>
        <v>5.0678730973172454</v>
      </c>
      <c r="AM50" s="150">
        <f>AM47*15%</f>
        <v>5.1945699247501755</v>
      </c>
      <c r="AN50" s="150">
        <f>AN47*15%</f>
        <v>5.3244341728689291</v>
      </c>
      <c r="AO50" s="150"/>
      <c r="AP50" s="83"/>
      <c r="AQ50" s="176">
        <f>SUM(H50:M50)</f>
        <v>21.606519484204096</v>
      </c>
      <c r="AR50" s="172">
        <f>SUM(N50:Y50)</f>
        <v>41.108408981574215</v>
      </c>
      <c r="AS50" s="171">
        <f>SUM(Z50:AK50)</f>
        <v>51.985049245768636</v>
      </c>
      <c r="AT50" s="83"/>
      <c r="AU50" s="83"/>
      <c r="AV50" s="83"/>
    </row>
    <row r="51" spans="3:48" s="25" customFormat="1" ht="25" customHeight="1">
      <c r="D51" s="262"/>
      <c r="E51" s="25" t="s">
        <v>594</v>
      </c>
      <c r="F51" s="81" t="s">
        <v>392</v>
      </c>
      <c r="G51" s="83">
        <v>17</v>
      </c>
      <c r="H51" s="83">
        <v>17</v>
      </c>
      <c r="I51" s="83">
        <v>17</v>
      </c>
      <c r="J51" s="83">
        <v>17</v>
      </c>
      <c r="K51" s="83">
        <v>17</v>
      </c>
      <c r="L51" s="83">
        <v>17</v>
      </c>
      <c r="M51" s="83">
        <v>17</v>
      </c>
      <c r="N51" s="150">
        <v>17</v>
      </c>
      <c r="O51" s="150">
        <v>17</v>
      </c>
      <c r="P51" s="150">
        <v>17</v>
      </c>
      <c r="Q51" s="150">
        <v>17</v>
      </c>
      <c r="R51" s="150">
        <v>17</v>
      </c>
      <c r="S51" s="150">
        <v>17</v>
      </c>
      <c r="T51" s="83">
        <v>17</v>
      </c>
      <c r="U51" s="83">
        <v>17</v>
      </c>
      <c r="V51" s="83">
        <v>17</v>
      </c>
      <c r="W51" s="83">
        <v>17</v>
      </c>
      <c r="X51" s="83">
        <v>17</v>
      </c>
      <c r="Y51" s="83">
        <v>17</v>
      </c>
      <c r="Z51" s="150">
        <v>17</v>
      </c>
      <c r="AA51" s="150">
        <v>17</v>
      </c>
      <c r="AB51" s="150">
        <v>17</v>
      </c>
      <c r="AC51" s="150">
        <v>17</v>
      </c>
      <c r="AD51" s="150">
        <v>17</v>
      </c>
      <c r="AE51" s="150">
        <v>17</v>
      </c>
      <c r="AF51" s="83">
        <v>17</v>
      </c>
      <c r="AG51" s="83">
        <v>17</v>
      </c>
      <c r="AH51" s="83">
        <v>17</v>
      </c>
      <c r="AI51" s="83">
        <v>17</v>
      </c>
      <c r="AJ51" s="83">
        <v>17</v>
      </c>
      <c r="AK51" s="83">
        <v>17</v>
      </c>
      <c r="AL51" s="150">
        <v>17</v>
      </c>
      <c r="AM51" s="150">
        <v>17</v>
      </c>
      <c r="AN51" s="150">
        <v>17</v>
      </c>
      <c r="AO51" s="150"/>
      <c r="AP51" s="83"/>
      <c r="AQ51" s="176">
        <f>SUM(H51:M51)</f>
        <v>102</v>
      </c>
      <c r="AR51" s="172">
        <f>SUM(N51:Y51)</f>
        <v>204</v>
      </c>
      <c r="AS51" s="171">
        <f>SUM(Z51:AK51)</f>
        <v>204</v>
      </c>
      <c r="AT51" s="83"/>
      <c r="AU51" s="83"/>
      <c r="AV51" s="83"/>
    </row>
    <row r="52" spans="3:48" s="25" customFormat="1" ht="25" customHeight="1">
      <c r="D52" s="262"/>
      <c r="E52" s="25" t="s">
        <v>595</v>
      </c>
      <c r="F52" s="122" t="s">
        <v>545</v>
      </c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2"/>
      <c r="AR52" s="253"/>
      <c r="AS52" s="253"/>
      <c r="AT52" s="251"/>
      <c r="AU52" s="83"/>
      <c r="AV52" s="83"/>
    </row>
    <row r="53" spans="3:48" s="25" customFormat="1" ht="25" customHeight="1">
      <c r="D53" s="262"/>
      <c r="E53" s="25" t="s">
        <v>596</v>
      </c>
      <c r="F53" s="255" t="s">
        <v>558</v>
      </c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  <c r="AK53" s="251"/>
      <c r="AL53" s="251"/>
      <c r="AM53" s="251"/>
      <c r="AN53" s="251"/>
      <c r="AO53" s="251"/>
      <c r="AP53" s="251"/>
      <c r="AQ53" s="252"/>
      <c r="AR53" s="253"/>
      <c r="AS53" s="253"/>
      <c r="AT53" s="251"/>
      <c r="AU53" s="83"/>
      <c r="AV53" s="83"/>
    </row>
    <row r="54" spans="3:48" s="25" customFormat="1" ht="25" customHeight="1">
      <c r="D54" s="262" t="s">
        <v>597</v>
      </c>
      <c r="F54" s="81" t="s">
        <v>390</v>
      </c>
      <c r="G54" s="87">
        <f>G27-(G47+G50+G51)</f>
        <v>-69.27272727272728</v>
      </c>
      <c r="H54" s="87">
        <f>H27-(H47+H50+H51)</f>
        <v>-8.832499999999996</v>
      </c>
      <c r="I54" s="87">
        <f>I27-(I47+I50+I51)</f>
        <v>0.73657638888888499</v>
      </c>
      <c r="J54" s="87">
        <f>J27-(J47+J50+J51)</f>
        <v>2.7548796874999937</v>
      </c>
      <c r="K54" s="87">
        <f>K27-(K47+K50+K51)</f>
        <v>-3.6047594314236022</v>
      </c>
      <c r="L54" s="87">
        <f>L27-(L47+L50+L51)</f>
        <v>-7.984608215820316</v>
      </c>
      <c r="M54" s="87">
        <f>M27-(M47+M50+M51)</f>
        <v>-7.7592234212158147</v>
      </c>
      <c r="N54" s="155">
        <f>N27-(N47+N50+N51)</f>
        <v>-2.5159124121119234</v>
      </c>
      <c r="O54" s="155">
        <f>O27-(O47+O50+O51)</f>
        <v>-2.1538102224147195</v>
      </c>
      <c r="P54" s="155">
        <f>P27-(P47+P50+P51)</f>
        <v>-1.3890543433193514</v>
      </c>
      <c r="Q54" s="155">
        <f>Q27-(Q47+Q50+Q51)</f>
        <v>1.1417250057365464</v>
      </c>
      <c r="R54" s="155">
        <f>R27-(R47+R50+R51)</f>
        <v>3.3815328173286829</v>
      </c>
      <c r="S54" s="155">
        <f>S27-(S47+S50+S51)</f>
        <v>7.8015577413155555</v>
      </c>
      <c r="T54" s="87">
        <f>T27-(T47+T50+T51)</f>
        <v>6.673768016618304</v>
      </c>
      <c r="U54" s="87">
        <f>U27-(U47+U50+U51)</f>
        <v>5.6439549541872864</v>
      </c>
      <c r="V54" s="87">
        <f>V27-(V47+V50+V51)</f>
        <v>6.161442366602607</v>
      </c>
      <c r="W54" s="87">
        <f>W27-(W47+W50+W51)</f>
        <v>8.1513585008901259</v>
      </c>
      <c r="X54" s="87">
        <f>X27-(X47+X50+X51)</f>
        <v>10.234772853830265</v>
      </c>
      <c r="Y54" s="87">
        <f>Y27-(Y47+Y50+Y51)</f>
        <v>11.10048049798371</v>
      </c>
      <c r="Z54" s="155">
        <f>Z27-(Z47+Z50+Z51)</f>
        <v>10.678663481864881</v>
      </c>
      <c r="AA54" s="155">
        <f>AA27-(AA47+AA50+AA51)</f>
        <v>10.079946549816164</v>
      </c>
      <c r="AB54" s="155">
        <f>AB27-(AB47+AB50+AB51)</f>
        <v>10.478157820177799</v>
      </c>
      <c r="AC54" s="155">
        <f>AC27-(AC47+AC50+AC51)</f>
        <v>12.04793953948429</v>
      </c>
      <c r="AD54" s="155">
        <f>AD27-(AD47+AD50+AD51)</f>
        <v>13.907874455818821</v>
      </c>
      <c r="AE54" s="155">
        <f>AE27-(AE47+AE50+AE51)</f>
        <v>15.019762748639884</v>
      </c>
      <c r="AF54" s="87">
        <f>AF27-(AF47+AF50+AF51)</f>
        <v>15.139085463718779</v>
      </c>
      <c r="AG54" s="87">
        <f>AG27-(AG47+AG50+AG51)</f>
        <v>14.95611895839162</v>
      </c>
      <c r="AH54" s="87">
        <f>AH27-(AH47+AH50+AH51)</f>
        <v>15.381632508704669</v>
      </c>
      <c r="AI54" s="87">
        <f>AI27-(AI47+AI50+AI51)</f>
        <v>16.705583175503655</v>
      </c>
      <c r="AJ54" s="87">
        <f>AJ27-(AJ47+AJ50+AJ51)</f>
        <v>18.398683090254679</v>
      </c>
      <c r="AK54" s="87">
        <f>AK27-(AK47+AK50+AK51)</f>
        <v>19.671141634201248</v>
      </c>
      <c r="AL54" s="155">
        <f>AL27-(AL47+AL50+AL51)</f>
        <v>20.209997339919369</v>
      </c>
      <c r="AM54" s="155">
        <f>AM27-(AM47+AM50+AM51)</f>
        <v>20.413582118259271</v>
      </c>
      <c r="AN54" s="155">
        <f>AN27-(AN47+AN50+AN51)</f>
        <v>20.962387067680893</v>
      </c>
      <c r="AO54" s="155">
        <f>AO27-(AO47+AO50+AO51)</f>
        <v>81.020089322275311</v>
      </c>
      <c r="AP54" s="87"/>
      <c r="AQ54" s="180">
        <f>AQ27-(AQ47+AQ50+AQ51)</f>
        <v>-24.689634992070836</v>
      </c>
      <c r="AR54" s="179">
        <f>AR27-(AR47+AR50+AR51)</f>
        <v>54.231815776647181</v>
      </c>
      <c r="AS54" s="178">
        <f>AS27-(AS47+AS50+AS51)</f>
        <v>172.46458942657648</v>
      </c>
      <c r="AT54" s="87"/>
      <c r="AU54" s="87"/>
      <c r="AV54" s="87"/>
    </row>
    <row r="55" spans="3:48" s="25" customFormat="1" ht="25" customHeight="1">
      <c r="D55" s="262" t="s">
        <v>598</v>
      </c>
      <c r="F55" s="81" t="s">
        <v>391</v>
      </c>
      <c r="G55" s="82"/>
      <c r="H55" s="82">
        <f>(H54/H23)</f>
        <v>-8.8324999999999959E-2</v>
      </c>
      <c r="I55" s="82">
        <f>(I54/I23)</f>
        <v>1.3065656565656496E-2</v>
      </c>
      <c r="J55" s="82">
        <f>(J54/J23)</f>
        <v>4.7675166297117412E-2</v>
      </c>
      <c r="K55" s="82">
        <f>(K54/K23)</f>
        <v>-6.0861408809588471E-2</v>
      </c>
      <c r="L55" s="82">
        <f>(L54/L23)</f>
        <v>-0.13152110839265158</v>
      </c>
      <c r="M55" s="147">
        <f>(M54/M23)</f>
        <v>-0.12469132526112335</v>
      </c>
      <c r="N55" s="151">
        <f>(N54/N23)</f>
        <v>-3.9444788872640822E-2</v>
      </c>
      <c r="O55" s="151">
        <f>(O54/O23)</f>
        <v>-3.294410296517801E-2</v>
      </c>
      <c r="P55" s="151">
        <f>(P54/P23)</f>
        <v>-2.0728392526407072E-2</v>
      </c>
      <c r="Q55" s="151">
        <f>(Q54/Q23)</f>
        <v>1.6622028971526887E-2</v>
      </c>
      <c r="R55" s="151">
        <f>(R54/R23)</f>
        <v>4.8029964223277495E-2</v>
      </c>
      <c r="S55" s="151">
        <f>(S54/S23)</f>
        <v>0.10810757318823391</v>
      </c>
      <c r="T55" s="82">
        <f>(T54/T23)</f>
        <v>9.0223990621521755E-2</v>
      </c>
      <c r="U55" s="82">
        <f>(U54/U23)</f>
        <v>7.4440725873464855E-2</v>
      </c>
      <c r="V55" s="147">
        <f>(V54/V23)</f>
        <v>7.9284005962768703E-2</v>
      </c>
      <c r="W55" s="82">
        <f>(W54/W23)</f>
        <v>0.10233149611475097</v>
      </c>
      <c r="X55" s="82">
        <f>(X54/X23)</f>
        <v>0.12535269423752465</v>
      </c>
      <c r="Y55" s="82">
        <f>(Y54/Y23)</f>
        <v>0.13263965298959499</v>
      </c>
      <c r="Z55" s="151">
        <f>(Z54/Z23)</f>
        <v>0.12448718148903733</v>
      </c>
      <c r="AA55" s="151">
        <f>(AA54/AA23)</f>
        <v>0.11464156267356362</v>
      </c>
      <c r="AB55" s="151">
        <f>(AB54/AB23)</f>
        <v>0.11626391367897336</v>
      </c>
      <c r="AC55" s="151">
        <f>(AC54/AC23)</f>
        <v>0.13042141768988494</v>
      </c>
      <c r="AD55" s="151">
        <f>(AD54/AD23)</f>
        <v>0.14688350712999487</v>
      </c>
      <c r="AE55" s="151">
        <f>(AE54/AE23)</f>
        <v>0.15475741937586457</v>
      </c>
      <c r="AF55" s="82">
        <f>(AF54/AF23)</f>
        <v>0.15218231341451377</v>
      </c>
      <c r="AG55" s="82">
        <f>(AG54/AG23)</f>
        <v>0.14667617856073473</v>
      </c>
      <c r="AH55" s="82">
        <f>(AH54/AH23)</f>
        <v>0.14716998360199418</v>
      </c>
      <c r="AI55" s="82">
        <f>(AI54/AI23)</f>
        <v>0.15593894294312077</v>
      </c>
      <c r="AJ55" s="82">
        <f>(AJ54/AJ23)</f>
        <v>0.1675543928680269</v>
      </c>
      <c r="AK55" s="82">
        <f>(AK54/AK23)</f>
        <v>0.17477317646083465</v>
      </c>
      <c r="AL55" s="151">
        <f>(AL54/AL23)</f>
        <v>0.17518124362424442</v>
      </c>
      <c r="AM55" s="151">
        <f>(AM54/AM23)</f>
        <v>0.17263017211922274</v>
      </c>
      <c r="AN55" s="151">
        <f>(AN54/AN23)</f>
        <v>0.17294752601285474</v>
      </c>
      <c r="AO55" s="151">
        <f>(AO54/AO23)</f>
        <v>0.65214244925339671</v>
      </c>
      <c r="AP55" s="82"/>
      <c r="AQ55" s="175">
        <f>(AQ54/AQ23)</f>
        <v>-6.2296354238839578E-2</v>
      </c>
      <c r="AR55" s="177">
        <f>(AR54/AR23)</f>
        <v>6.163241007215179E-2</v>
      </c>
      <c r="AS55" s="173">
        <f>(AS54/AS23)</f>
        <v>0.14573657513926996</v>
      </c>
      <c r="AT55" s="82"/>
      <c r="AU55" s="82"/>
      <c r="AV55" s="82"/>
    </row>
    <row r="56" spans="3:48" s="25" customFormat="1" ht="25" customHeight="1">
      <c r="D56" s="262"/>
      <c r="F56" s="255" t="s">
        <v>561</v>
      </c>
      <c r="G56" s="82"/>
      <c r="H56" s="82"/>
      <c r="I56" s="82"/>
      <c r="J56" s="82"/>
      <c r="K56" s="82"/>
      <c r="L56" s="82"/>
      <c r="M56" s="147"/>
      <c r="N56" s="151"/>
      <c r="O56" s="151"/>
      <c r="P56" s="151"/>
      <c r="Q56" s="151"/>
      <c r="R56" s="151"/>
      <c r="S56" s="151"/>
      <c r="T56" s="82"/>
      <c r="U56" s="82"/>
      <c r="V56" s="147"/>
      <c r="W56" s="82"/>
      <c r="X56" s="82"/>
      <c r="Y56" s="82"/>
      <c r="Z56" s="151"/>
      <c r="AA56" s="151"/>
      <c r="AB56" s="151"/>
      <c r="AC56" s="151"/>
      <c r="AD56" s="151"/>
      <c r="AE56" s="151"/>
      <c r="AF56" s="82"/>
      <c r="AG56" s="82"/>
      <c r="AH56" s="82"/>
      <c r="AI56" s="82"/>
      <c r="AJ56" s="82"/>
      <c r="AK56" s="82"/>
      <c r="AL56" s="151"/>
      <c r="AM56" s="151"/>
      <c r="AN56" s="151"/>
      <c r="AO56" s="151"/>
      <c r="AP56" s="82"/>
      <c r="AQ56" s="151"/>
      <c r="AR56" s="261"/>
      <c r="AS56" s="173"/>
      <c r="AT56" s="82"/>
      <c r="AU56" s="144"/>
      <c r="AV56" s="144"/>
    </row>
    <row r="57" spans="3:48" s="25" customFormat="1" ht="25" customHeight="1">
      <c r="C57" s="25" t="s">
        <v>599</v>
      </c>
      <c r="D57" s="262"/>
      <c r="F57" s="81" t="s">
        <v>433</v>
      </c>
      <c r="G57" s="143">
        <f>G16</f>
        <v>300</v>
      </c>
      <c r="H57" s="145">
        <v>0</v>
      </c>
      <c r="I57" s="145">
        <f>H25</f>
        <v>55.000000000000007</v>
      </c>
      <c r="J57" s="145">
        <f>I25</f>
        <v>65.739888888888885</v>
      </c>
      <c r="K57" s="145">
        <f>J25</f>
        <v>68.958274999999986</v>
      </c>
      <c r="L57" s="145">
        <f>K25</f>
        <v>63.828720763888882</v>
      </c>
      <c r="M57" s="145">
        <f>L25</f>
        <v>60.709708984374984</v>
      </c>
      <c r="N57" s="145">
        <f>M25</f>
        <v>62.227451708984354</v>
      </c>
      <c r="O57" s="156">
        <f>N25</f>
        <v>63.783138001708956</v>
      </c>
      <c r="P57" s="156">
        <f>O25</f>
        <v>65.377716451751681</v>
      </c>
      <c r="Q57" s="156">
        <f>P25</f>
        <v>67.405760497701209</v>
      </c>
      <c r="R57" s="156">
        <f>Q25</f>
        <v>71.231410217782624</v>
      </c>
      <c r="S57" s="156">
        <f>R25</f>
        <v>74.798460159675898</v>
      </c>
      <c r="T57" s="156">
        <f>S25</f>
        <v>76.528231213241526</v>
      </c>
      <c r="U57" s="145">
        <f>T25</f>
        <v>76.693608325342424</v>
      </c>
      <c r="V57" s="145">
        <f>U25</f>
        <v>76.989291270629508</v>
      </c>
      <c r="W57" s="145">
        <f>V25</f>
        <v>78.865412090955871</v>
      </c>
      <c r="X57" s="145">
        <f>W25</f>
        <v>82.247927468352216</v>
      </c>
      <c r="Y57" s="145">
        <f>X25</f>
        <v>85.758756045478918</v>
      </c>
      <c r="Z57" s="145">
        <f>Y25</f>
        <v>88.087563269423569</v>
      </c>
      <c r="AA57" s="156">
        <f>Z25</f>
        <v>89.165423322590726</v>
      </c>
      <c r="AB57" s="156">
        <f>AA25</f>
        <v>90.103875386560148</v>
      </c>
      <c r="AC57" s="156">
        <f>AB25</f>
        <v>92.077684877840383</v>
      </c>
      <c r="AD57" s="156">
        <f>AC25</f>
        <v>95.262454773588431</v>
      </c>
      <c r="AE57" s="156">
        <f>AD25</f>
        <v>98.777752570775561</v>
      </c>
      <c r="AF57" s="156">
        <f>AE25</f>
        <v>101.58638781647053</v>
      </c>
      <c r="AG57" s="145">
        <f>AF25</f>
        <v>103.44487615824519</v>
      </c>
      <c r="AH57" s="145">
        <f>AG25</f>
        <v>105.04455442028119</v>
      </c>
      <c r="AI57" s="145">
        <f>AH25</f>
        <v>107.29727885714146</v>
      </c>
      <c r="AJ57" s="145">
        <f>AI25</f>
        <v>110.49412068265137</v>
      </c>
      <c r="AK57" s="145">
        <f>AJ25</f>
        <v>114.10693403508108</v>
      </c>
      <c r="AL57" s="145">
        <f>AK25</f>
        <v>117.3470988526483</v>
      </c>
      <c r="AM57" s="156">
        <f>AL25</f>
        <v>119.9028534888276</v>
      </c>
      <c r="AN57" s="156">
        <f>AM25</f>
        <v>122.17375967089021</v>
      </c>
      <c r="AO57" s="156">
        <f>AN25</f>
        <v>124.84156905912758</v>
      </c>
      <c r="AP57" s="156"/>
      <c r="AQ57" s="82"/>
      <c r="AR57" s="176"/>
      <c r="AS57" s="174"/>
      <c r="AT57" s="173"/>
      <c r="AU57" s="144"/>
      <c r="AV57" s="144"/>
    </row>
    <row r="58" spans="3:48" s="25" customFormat="1" ht="25" customHeight="1">
      <c r="D58" s="262" t="s">
        <v>600</v>
      </c>
      <c r="F58" s="81" t="s">
        <v>414</v>
      </c>
      <c r="G58" s="146">
        <f>G33+G47+G50+G51</f>
        <v>116.18630751964085</v>
      </c>
      <c r="H58" s="146">
        <f>H33+H47+H50+H51</f>
        <v>69.380030864197522</v>
      </c>
      <c r="I58" s="146">
        <f>I33+I47+I50+I51</f>
        <v>70.689531635802467</v>
      </c>
      <c r="J58" s="146">
        <f>J33+J47+J50+J51</f>
        <v>72.031769926697521</v>
      </c>
      <c r="K58" s="146">
        <f>K33+K47+K50+K51</f>
        <v>73.407564174864959</v>
      </c>
      <c r="L58" s="146">
        <f>L33+L47+L50+L51</f>
        <v>74.81775327923657</v>
      </c>
      <c r="M58" s="148">
        <f>M33+M47+M50+M51</f>
        <v>76.26319711121748</v>
      </c>
      <c r="N58" s="157">
        <f>N33+N47+N50+N51</f>
        <v>72.732485444363618</v>
      </c>
      <c r="O58" s="157">
        <f>O33+O47+O50+O51</f>
        <v>74.125797580472707</v>
      </c>
      <c r="P58" s="157">
        <f>P33+P47+P50+P51</f>
        <v>75.553942519984531</v>
      </c>
      <c r="Q58" s="157">
        <f>Q33+Q47+Q50+Q51</f>
        <v>77.017791082984132</v>
      </c>
      <c r="R58" s="157">
        <f>R33+R47+R50+R51</f>
        <v>78.518235860058724</v>
      </c>
      <c r="S58" s="157">
        <f>S33+S47+S50+S51</f>
        <v>76.005514702580271</v>
      </c>
      <c r="T58" s="146">
        <f>T33+T47+T50+T51</f>
        <v>77.48065257014477</v>
      </c>
      <c r="U58" s="148">
        <f>U33+U47+U50+U51</f>
        <v>78.992668884398384</v>
      </c>
      <c r="V58" s="146">
        <f>V33+V47+V50+V51</f>
        <v>80.542485606508365</v>
      </c>
      <c r="W58" s="146">
        <f>W33+W47+W50+W51</f>
        <v>82.131047746671058</v>
      </c>
      <c r="X58" s="146">
        <f>X33+X47+X50+X51</f>
        <v>83.759323940337836</v>
      </c>
      <c r="Y58" s="146">
        <f>Y33+Y47+Y50+Y51</f>
        <v>85.42830703884627</v>
      </c>
      <c r="Z58" s="157">
        <f>Z33+Z47+Z50+Z51</f>
        <v>87.139014714817421</v>
      </c>
      <c r="AA58" s="157">
        <f>AA33+AA47+AA50+AA51</f>
        <v>88.892490082687843</v>
      </c>
      <c r="AB58" s="157">
        <f>AB33+AB47+AB50+AB51</f>
        <v>90.689802334755029</v>
      </c>
      <c r="AC58" s="157">
        <f>AC33+AC47+AC50+AC51</f>
        <v>92.532047393123918</v>
      </c>
      <c r="AD58" s="157">
        <f>AD33+AD47+AD50+AD51</f>
        <v>94.420348577951998</v>
      </c>
      <c r="AE58" s="157">
        <f>AE33+AE47+AE50+AE51</f>
        <v>96.355857292400785</v>
      </c>
      <c r="AF58" s="146">
        <f>AF33+AF47+AF50+AF51</f>
        <v>98.339753724710803</v>
      </c>
      <c r="AG58" s="146">
        <f>AG33+AG47+AG50+AG51</f>
        <v>100.37324756782857</v>
      </c>
      <c r="AH58" s="146">
        <f>AH33+AH47+AH50+AH51</f>
        <v>102.45757875702428</v>
      </c>
      <c r="AI58" s="146">
        <f>AI33+AI47+AI50+AI51</f>
        <v>104.59401822594987</v>
      </c>
      <c r="AJ58" s="146">
        <f>AJ33+AJ47+AJ50+AJ51</f>
        <v>106.78386868159861</v>
      </c>
      <c r="AK58" s="146">
        <f>AK33+AK47+AK50+AK51</f>
        <v>109.02846539863856</v>
      </c>
      <c r="AL58" s="157">
        <f>AL33+AL47+AL50+AL51</f>
        <v>111.32917703360452</v>
      </c>
      <c r="AM58" s="157">
        <f>AM33+AM47+AM50+AM51</f>
        <v>113.68740645944463</v>
      </c>
      <c r="AN58" s="157">
        <f>AN33+AN47+AN50+AN51</f>
        <v>116.10459162093073</v>
      </c>
      <c r="AO58" s="157"/>
      <c r="AP58" s="82"/>
      <c r="AQ58" s="176"/>
      <c r="AR58" s="174"/>
      <c r="AS58" s="173"/>
      <c r="AT58" s="144"/>
      <c r="AU58" s="144"/>
    </row>
    <row r="59" spans="3:48" s="25" customFormat="1" ht="25" customHeight="1">
      <c r="D59" s="262"/>
      <c r="E59" s="25" t="s">
        <v>601</v>
      </c>
      <c r="F59" s="255" t="s">
        <v>562</v>
      </c>
      <c r="G59" s="146"/>
      <c r="H59" s="146"/>
      <c r="I59" s="146"/>
      <c r="J59" s="146"/>
      <c r="K59" s="146"/>
      <c r="L59" s="146"/>
      <c r="M59" s="148"/>
      <c r="N59" s="157"/>
      <c r="O59" s="157"/>
      <c r="P59" s="157"/>
      <c r="Q59" s="157"/>
      <c r="R59" s="157"/>
      <c r="S59" s="157"/>
      <c r="T59" s="146"/>
      <c r="U59" s="148"/>
      <c r="V59" s="146"/>
      <c r="W59" s="146"/>
      <c r="X59" s="146"/>
      <c r="Y59" s="146"/>
      <c r="Z59" s="157"/>
      <c r="AA59" s="157"/>
      <c r="AB59" s="157"/>
      <c r="AC59" s="157"/>
      <c r="AD59" s="157"/>
      <c r="AE59" s="157"/>
      <c r="AF59" s="146"/>
      <c r="AG59" s="146"/>
      <c r="AH59" s="146"/>
      <c r="AI59" s="146"/>
      <c r="AJ59" s="146"/>
      <c r="AK59" s="146"/>
      <c r="AL59" s="157"/>
      <c r="AM59" s="157"/>
      <c r="AN59" s="157"/>
      <c r="AO59" s="157"/>
      <c r="AP59" s="82"/>
      <c r="AQ59" s="176"/>
      <c r="AR59" s="174"/>
      <c r="AS59" s="173"/>
      <c r="AT59" s="144"/>
      <c r="AU59" s="144"/>
    </row>
    <row r="60" spans="3:48" s="25" customFormat="1" ht="25" customHeight="1">
      <c r="D60" s="262"/>
      <c r="E60" s="25" t="s">
        <v>602</v>
      </c>
      <c r="F60" s="165" t="s">
        <v>413</v>
      </c>
      <c r="G60" s="166">
        <f>G57-G58</f>
        <v>183.81369248035915</v>
      </c>
      <c r="H60" s="167">
        <f t="shared" ref="H60:AN60" si="1">G60+H57-H58</f>
        <v>114.43366161616163</v>
      </c>
      <c r="I60" s="167">
        <f t="shared" si="1"/>
        <v>98.744129980359162</v>
      </c>
      <c r="J60" s="167">
        <f t="shared" si="1"/>
        <v>92.452248942550526</v>
      </c>
      <c r="K60" s="167">
        <f t="shared" si="1"/>
        <v>88.002959767685567</v>
      </c>
      <c r="L60" s="167">
        <f t="shared" si="1"/>
        <v>77.013927252337879</v>
      </c>
      <c r="M60" s="167">
        <f t="shared" si="1"/>
        <v>61.460439125495398</v>
      </c>
      <c r="N60" s="167">
        <f t="shared" si="1"/>
        <v>50.955405390116141</v>
      </c>
      <c r="O60" s="167">
        <f t="shared" si="1"/>
        <v>40.612745811352383</v>
      </c>
      <c r="P60" s="167">
        <f t="shared" si="1"/>
        <v>30.436519743119533</v>
      </c>
      <c r="Q60" s="167">
        <f t="shared" si="1"/>
        <v>20.824489157836609</v>
      </c>
      <c r="R60" s="167">
        <f t="shared" si="1"/>
        <v>13.53766351556051</v>
      </c>
      <c r="S60" s="167">
        <f t="shared" si="1"/>
        <v>12.330608972656137</v>
      </c>
      <c r="T60" s="167">
        <f t="shared" si="1"/>
        <v>11.378187615752893</v>
      </c>
      <c r="U60" s="167">
        <f t="shared" si="1"/>
        <v>9.0791270566969331</v>
      </c>
      <c r="V60" s="167">
        <f t="shared" si="1"/>
        <v>5.5259327208180764</v>
      </c>
      <c r="W60" s="167">
        <f t="shared" si="1"/>
        <v>2.2602970651028897</v>
      </c>
      <c r="X60" s="167">
        <f t="shared" si="1"/>
        <v>0.74890059311726986</v>
      </c>
      <c r="Y60" s="167">
        <f t="shared" si="1"/>
        <v>1.0793495997499178</v>
      </c>
      <c r="Z60" s="167">
        <f t="shared" si="1"/>
        <v>2.0278981543560661</v>
      </c>
      <c r="AA60" s="167">
        <f t="shared" si="1"/>
        <v>2.3008313942589496</v>
      </c>
      <c r="AB60" s="167">
        <f t="shared" si="1"/>
        <v>1.7149044460640681</v>
      </c>
      <c r="AC60" s="167">
        <f t="shared" si="1"/>
        <v>1.2605419307805334</v>
      </c>
      <c r="AD60" s="167">
        <f t="shared" si="1"/>
        <v>2.1026481264169661</v>
      </c>
      <c r="AE60" s="167">
        <f t="shared" si="1"/>
        <v>4.5245434047917428</v>
      </c>
      <c r="AF60" s="167">
        <f t="shared" si="1"/>
        <v>7.7711774965514735</v>
      </c>
      <c r="AG60" s="167">
        <f t="shared" si="1"/>
        <v>10.842806086968096</v>
      </c>
      <c r="AH60" s="167">
        <f t="shared" si="1"/>
        <v>13.429781750225004</v>
      </c>
      <c r="AI60" s="167">
        <f t="shared" si="1"/>
        <v>16.133042381416601</v>
      </c>
      <c r="AJ60" s="167">
        <f t="shared" si="1"/>
        <v>19.843294382469367</v>
      </c>
      <c r="AK60" s="167">
        <f t="shared" si="1"/>
        <v>24.921763018911889</v>
      </c>
      <c r="AL60" s="167">
        <f t="shared" si="1"/>
        <v>30.939684837955681</v>
      </c>
      <c r="AM60" s="167">
        <f t="shared" si="1"/>
        <v>37.155131867338653</v>
      </c>
      <c r="AN60" s="167">
        <f t="shared" si="1"/>
        <v>43.224299917298111</v>
      </c>
      <c r="AO60" s="145"/>
      <c r="AP60" s="82"/>
      <c r="AQ60" s="176"/>
      <c r="AR60" s="174"/>
      <c r="AS60" s="173"/>
      <c r="AT60" s="144"/>
      <c r="AU60" s="144"/>
    </row>
    <row r="61" spans="3:48" s="25" customFormat="1" ht="25" customHeight="1">
      <c r="D61" s="262" t="s">
        <v>603</v>
      </c>
      <c r="F61" s="165" t="s">
        <v>432</v>
      </c>
      <c r="G61" s="165"/>
      <c r="H61" s="166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45"/>
      <c r="AQ61" s="175"/>
      <c r="AR61" s="174"/>
      <c r="AS61" s="173"/>
      <c r="AT61" s="82"/>
      <c r="AU61" s="144"/>
      <c r="AV61" s="144"/>
    </row>
    <row r="62" spans="3:48" s="25" customFormat="1" ht="25" customHeight="1">
      <c r="D62" s="262" t="s">
        <v>604</v>
      </c>
      <c r="F62" s="122" t="s">
        <v>533</v>
      </c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254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251"/>
      <c r="AS62" s="251"/>
      <c r="AT62" s="122"/>
    </row>
    <row r="63" spans="3:48" s="25" customFormat="1" ht="25" customHeight="1">
      <c r="D63" s="262" t="s">
        <v>605</v>
      </c>
      <c r="F63" s="255" t="s">
        <v>563</v>
      </c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254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251"/>
      <c r="AS63" s="251"/>
      <c r="AT63" s="122"/>
    </row>
    <row r="64" spans="3:48" s="25" customFormat="1" ht="25" customHeight="1">
      <c r="D64" s="262" t="s">
        <v>606</v>
      </c>
      <c r="F64" s="240" t="s">
        <v>535</v>
      </c>
      <c r="G64" s="8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3"/>
      <c r="AS64" s="83"/>
      <c r="AT64" s="81"/>
    </row>
    <row r="65" spans="3:46" s="25" customFormat="1" ht="25" customHeight="1">
      <c r="D65" s="262" t="s">
        <v>607</v>
      </c>
      <c r="F65" s="240"/>
      <c r="G65" s="8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3"/>
      <c r="AS65" s="83"/>
      <c r="AT65" s="81"/>
    </row>
    <row r="66" spans="3:46" s="25" customFormat="1" ht="25" customHeight="1">
      <c r="D66" s="262" t="s">
        <v>608</v>
      </c>
      <c r="F66" s="240"/>
      <c r="G66" s="8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3"/>
      <c r="AS66" s="83"/>
      <c r="AT66" s="81"/>
    </row>
    <row r="67" spans="3:46" s="25" customFormat="1" ht="25" customHeight="1">
      <c r="D67" s="262" t="s">
        <v>609</v>
      </c>
      <c r="F67" s="240" t="s">
        <v>537</v>
      </c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122"/>
      <c r="AR67" s="81"/>
      <c r="AS67" s="81"/>
      <c r="AT67" s="81"/>
    </row>
    <row r="68" spans="3:46" s="25" customFormat="1" ht="25" customHeight="1">
      <c r="D68" s="262" t="s">
        <v>610</v>
      </c>
      <c r="F68" s="240" t="s">
        <v>539</v>
      </c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122"/>
      <c r="AR68" s="81"/>
      <c r="AS68" s="81"/>
      <c r="AT68" s="81"/>
    </row>
    <row r="69" spans="3:46" s="25" customFormat="1" ht="25" customHeight="1">
      <c r="D69" s="262" t="s">
        <v>611</v>
      </c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122"/>
      <c r="AR69" s="81"/>
      <c r="AS69" s="81"/>
      <c r="AT69" s="81"/>
    </row>
    <row r="70" spans="3:46" s="25" customFormat="1" ht="25" customHeight="1">
      <c r="D70" s="262" t="s">
        <v>612</v>
      </c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122"/>
      <c r="AR70" s="81"/>
      <c r="AS70" s="81"/>
      <c r="AT70" s="81"/>
    </row>
    <row r="71" spans="3:46" s="25" customFormat="1" ht="25" customHeight="1">
      <c r="D71" s="262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</row>
    <row r="72" spans="3:46" s="25" customFormat="1" ht="25" customHeight="1">
      <c r="C72" s="25" t="s">
        <v>613</v>
      </c>
      <c r="D72" s="262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</row>
    <row r="73" spans="3:46" s="25" customFormat="1" ht="25" customHeight="1">
      <c r="D73" s="262" t="s">
        <v>614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</row>
    <row r="74" spans="3:46" s="25" customFormat="1" ht="25" customHeight="1">
      <c r="D74" s="262"/>
      <c r="E74" s="25" t="s">
        <v>240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</row>
    <row r="75" spans="3:46" s="25" customFormat="1" ht="25" customHeight="1">
      <c r="D75" s="262"/>
      <c r="E75" s="25" t="s">
        <v>615</v>
      </c>
    </row>
    <row r="76" spans="3:46" s="25" customFormat="1" ht="25" customHeight="1">
      <c r="D76" s="262"/>
      <c r="E76" s="25" t="s">
        <v>580</v>
      </c>
    </row>
    <row r="77" spans="3:46" s="25" customFormat="1" ht="25" customHeight="1">
      <c r="D77" s="262" t="s">
        <v>616</v>
      </c>
    </row>
    <row r="78" spans="3:46" s="25" customFormat="1" ht="25" customHeight="1">
      <c r="D78" s="262" t="s">
        <v>617</v>
      </c>
    </row>
    <row r="79" spans="3:46" s="25" customFormat="1" ht="25" customHeight="1">
      <c r="D79" s="262" t="s">
        <v>618</v>
      </c>
    </row>
    <row r="80" spans="3:46" s="25" customFormat="1" ht="25" customHeight="1">
      <c r="D80" s="262" t="s">
        <v>619</v>
      </c>
    </row>
    <row r="81" spans="2:5" s="25" customFormat="1" ht="25" customHeight="1">
      <c r="D81" s="262" t="s">
        <v>620</v>
      </c>
    </row>
    <row r="82" spans="2:5" s="25" customFormat="1" ht="25" customHeight="1">
      <c r="D82" s="262" t="s">
        <v>621</v>
      </c>
    </row>
    <row r="83" spans="2:5" s="25" customFormat="1" ht="25" customHeight="1">
      <c r="D83" s="262" t="s">
        <v>622</v>
      </c>
    </row>
    <row r="84" spans="2:5" s="25" customFormat="1" ht="25" customHeight="1">
      <c r="D84" s="262"/>
    </row>
    <row r="85" spans="2:5" s="25" customFormat="1" ht="25" customHeight="1">
      <c r="C85" s="25" t="s">
        <v>623</v>
      </c>
      <c r="D85" s="262"/>
    </row>
    <row r="86" spans="2:5" s="25" customFormat="1" ht="25" customHeight="1">
      <c r="D86" s="262" t="s">
        <v>624</v>
      </c>
    </row>
    <row r="87" spans="2:5" s="25" customFormat="1" ht="25" customHeight="1">
      <c r="D87" s="262"/>
      <c r="E87" s="25" t="s">
        <v>625</v>
      </c>
    </row>
    <row r="88" spans="2:5" s="25" customFormat="1" ht="25" customHeight="1">
      <c r="D88" s="262"/>
      <c r="E88" s="25" t="s">
        <v>626</v>
      </c>
    </row>
    <row r="89" spans="2:5" s="25" customFormat="1" ht="25" customHeight="1">
      <c r="D89" s="262" t="s">
        <v>627</v>
      </c>
    </row>
    <row r="90" spans="2:5" s="25" customFormat="1" ht="25" customHeight="1">
      <c r="D90" s="262" t="s">
        <v>628</v>
      </c>
    </row>
    <row r="91" spans="2:5" s="25" customFormat="1" ht="25" customHeight="1">
      <c r="D91" s="262"/>
      <c r="E91" s="25" t="s">
        <v>629</v>
      </c>
    </row>
    <row r="92" spans="2:5" s="25" customFormat="1" ht="25" customHeight="1">
      <c r="D92" s="262"/>
      <c r="E92" s="25" t="s">
        <v>630</v>
      </c>
    </row>
    <row r="93" spans="2:5" s="25" customFormat="1" ht="25" customHeight="1">
      <c r="D93" s="262" t="s">
        <v>631</v>
      </c>
    </row>
    <row r="94" spans="2:5" s="25" customFormat="1" ht="25" customHeight="1">
      <c r="D94" s="262" t="s">
        <v>632</v>
      </c>
    </row>
    <row r="95" spans="2:5" s="25" customFormat="1" ht="25" customHeight="1">
      <c r="D95" s="262" t="s">
        <v>633</v>
      </c>
    </row>
    <row r="96" spans="2:5" s="25" customFormat="1" ht="25" customHeight="1">
      <c r="B96" s="24"/>
      <c r="C96" s="24"/>
      <c r="D96" s="263" t="s">
        <v>634</v>
      </c>
      <c r="E96" s="24"/>
    </row>
    <row r="97" spans="2:5" s="25" customFormat="1" ht="25" customHeight="1">
      <c r="B97" s="24"/>
      <c r="C97" s="24"/>
      <c r="D97" s="263" t="s">
        <v>635</v>
      </c>
      <c r="E97" s="24"/>
    </row>
    <row r="98" spans="2:5" s="25" customFormat="1" ht="25" customHeight="1">
      <c r="B98" s="24"/>
      <c r="C98" s="24"/>
      <c r="D98" s="263" t="s">
        <v>636</v>
      </c>
      <c r="E98" s="24"/>
    </row>
    <row r="99" spans="2:5" s="25" customFormat="1" ht="25" customHeight="1">
      <c r="B99" s="24"/>
      <c r="C99" s="24"/>
      <c r="D99" s="263" t="s">
        <v>637</v>
      </c>
      <c r="E99" s="24"/>
    </row>
    <row r="100" spans="2:5" s="25" customFormat="1" ht="25" customHeight="1">
      <c r="B100" s="24"/>
      <c r="C100" s="24"/>
      <c r="D100" s="263" t="s">
        <v>638</v>
      </c>
      <c r="E100" s="24"/>
    </row>
    <row r="101" spans="2:5" s="25" customFormat="1" ht="25" customHeight="1">
      <c r="B101" s="24"/>
      <c r="C101" s="24"/>
      <c r="D101" s="263" t="s">
        <v>639</v>
      </c>
      <c r="E101" s="24"/>
    </row>
    <row r="102" spans="2:5">
      <c r="D102" s="263" t="s">
        <v>640</v>
      </c>
    </row>
    <row r="104" spans="2:5">
      <c r="C104" s="24" t="s">
        <v>641</v>
      </c>
    </row>
    <row r="105" spans="2:5">
      <c r="D105" s="263" t="s">
        <v>642</v>
      </c>
    </row>
    <row r="106" spans="2:5">
      <c r="D106" s="263" t="s">
        <v>643</v>
      </c>
    </row>
    <row r="108" spans="2:5">
      <c r="C108" s="24" t="s">
        <v>644</v>
      </c>
    </row>
    <row r="109" spans="2:5">
      <c r="D109" s="263" t="s">
        <v>645</v>
      </c>
    </row>
    <row r="110" spans="2:5">
      <c r="D110" s="263" t="s">
        <v>646</v>
      </c>
    </row>
    <row r="111" spans="2:5">
      <c r="D111" s="263" t="s">
        <v>647</v>
      </c>
    </row>
    <row r="112" spans="2:5">
      <c r="D112" s="263" t="s">
        <v>648</v>
      </c>
    </row>
    <row r="113" spans="2:4">
      <c r="D113" s="263" t="s">
        <v>649</v>
      </c>
    </row>
    <row r="115" spans="2:4">
      <c r="C115" s="24" t="s">
        <v>650</v>
      </c>
    </row>
    <row r="116" spans="2:4">
      <c r="D116" s="263" t="s">
        <v>651</v>
      </c>
    </row>
    <row r="118" spans="2:4">
      <c r="B118" s="24" t="s">
        <v>544</v>
      </c>
    </row>
    <row r="119" spans="2:4">
      <c r="C119" s="24" t="s">
        <v>652</v>
      </c>
    </row>
    <row r="120" spans="2:4">
      <c r="D120" s="263" t="s">
        <v>653</v>
      </c>
    </row>
    <row r="121" spans="2:4">
      <c r="D121" s="263" t="s">
        <v>654</v>
      </c>
    </row>
    <row r="123" spans="2:4">
      <c r="C123" s="24" t="s">
        <v>655</v>
      </c>
    </row>
    <row r="124" spans="2:4">
      <c r="D124" s="263" t="s">
        <v>656</v>
      </c>
    </row>
    <row r="125" spans="2:4">
      <c r="D125" s="263" t="s">
        <v>657</v>
      </c>
    </row>
    <row r="127" spans="2:4">
      <c r="C127" s="24" t="s">
        <v>658</v>
      </c>
    </row>
    <row r="128" spans="2:4">
      <c r="D128" s="263" t="s">
        <v>659</v>
      </c>
    </row>
    <row r="129" spans="2:4">
      <c r="D129" s="263" t="s">
        <v>660</v>
      </c>
    </row>
    <row r="131" spans="2:4">
      <c r="C131" s="24" t="s">
        <v>661</v>
      </c>
    </row>
    <row r="132" spans="2:4">
      <c r="D132" s="263" t="s">
        <v>662</v>
      </c>
    </row>
    <row r="134" spans="2:4">
      <c r="B134" s="24" t="s">
        <v>532</v>
      </c>
    </row>
    <row r="135" spans="2:4">
      <c r="C135" s="24" t="s">
        <v>663</v>
      </c>
    </row>
    <row r="136" spans="2:4">
      <c r="D136" s="263" t="s">
        <v>534</v>
      </c>
    </row>
    <row r="137" spans="2:4">
      <c r="D137" s="263" t="s">
        <v>536</v>
      </c>
    </row>
    <row r="138" spans="2:4">
      <c r="D138" s="263" t="s">
        <v>538</v>
      </c>
    </row>
  </sheetData>
  <phoneticPr fontId="3"/>
  <conditionalFormatting sqref="H38:AN38">
    <cfRule type="expression" dxfId="2" priority="1">
      <formula>H38&gt;(H25*0.2)</formula>
    </cfRule>
  </conditionalFormatting>
  <pageMargins left="0.7" right="0.7" top="0.75" bottom="0.75" header="0.3" footer="0.3"/>
  <pageSetup paperSize="256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3B7D-2451-AE4C-8A10-F3FCC37D6202}">
  <dimension ref="A1:D131"/>
  <sheetViews>
    <sheetView topLeftCell="A26" workbookViewId="0">
      <selection activeCell="D41" sqref="D41"/>
    </sheetView>
  </sheetViews>
  <sheetFormatPr baseColWidth="10" defaultRowHeight="20"/>
  <cols>
    <col min="1" max="1" width="32.7109375" bestFit="1" customWidth="1"/>
    <col min="2" max="2" width="23" bestFit="1" customWidth="1"/>
    <col min="3" max="3" width="30.85546875" bestFit="1" customWidth="1"/>
  </cols>
  <sheetData>
    <row r="1" spans="1:3">
      <c r="A1" t="s">
        <v>540</v>
      </c>
    </row>
    <row r="2" spans="1:3">
      <c r="B2" t="s">
        <v>564</v>
      </c>
    </row>
    <row r="3" spans="1:3">
      <c r="C3" t="s">
        <v>565</v>
      </c>
    </row>
    <row r="4" spans="1:3">
      <c r="C4" t="s">
        <v>547</v>
      </c>
    </row>
    <row r="5" spans="1:3">
      <c r="C5" t="s">
        <v>549</v>
      </c>
    </row>
    <row r="6" spans="1:3">
      <c r="C6" t="s">
        <v>551</v>
      </c>
    </row>
    <row r="8" spans="1:3">
      <c r="B8" t="s">
        <v>566</v>
      </c>
    </row>
    <row r="9" spans="1:3">
      <c r="C9" t="s">
        <v>567</v>
      </c>
    </row>
    <row r="10" spans="1:3">
      <c r="C10" t="s">
        <v>568</v>
      </c>
    </row>
    <row r="11" spans="1:3">
      <c r="C11" t="s">
        <v>569</v>
      </c>
    </row>
    <row r="12" spans="1:3">
      <c r="C12" t="s">
        <v>570</v>
      </c>
    </row>
    <row r="13" spans="1:3">
      <c r="C13" t="s">
        <v>571</v>
      </c>
    </row>
    <row r="15" spans="1:3">
      <c r="B15" t="s">
        <v>572</v>
      </c>
    </row>
    <row r="16" spans="1:3">
      <c r="C16" t="s">
        <v>573</v>
      </c>
    </row>
    <row r="17" spans="2:3">
      <c r="C17" t="s">
        <v>245</v>
      </c>
    </row>
    <row r="18" spans="2:3">
      <c r="C18" t="s">
        <v>574</v>
      </c>
    </row>
    <row r="20" spans="2:3">
      <c r="B20" t="s">
        <v>575</v>
      </c>
    </row>
    <row r="21" spans="2:3">
      <c r="C21" t="s">
        <v>447</v>
      </c>
    </row>
    <row r="22" spans="2:3">
      <c r="C22" t="s">
        <v>576</v>
      </c>
    </row>
    <row r="23" spans="2:3">
      <c r="C23" t="s">
        <v>577</v>
      </c>
    </row>
    <row r="24" spans="2:3">
      <c r="C24" t="s">
        <v>578</v>
      </c>
    </row>
    <row r="25" spans="2:3">
      <c r="C25" t="s">
        <v>579</v>
      </c>
    </row>
    <row r="26" spans="2:3">
      <c r="C26" t="s">
        <v>580</v>
      </c>
    </row>
    <row r="28" spans="2:3">
      <c r="B28" t="s">
        <v>581</v>
      </c>
    </row>
    <row r="29" spans="2:3">
      <c r="C29" t="s">
        <v>582</v>
      </c>
    </row>
    <row r="30" spans="2:3">
      <c r="C30" t="s">
        <v>583</v>
      </c>
    </row>
    <row r="31" spans="2:3">
      <c r="C31" t="s">
        <v>584</v>
      </c>
    </row>
    <row r="32" spans="2:3">
      <c r="C32" t="s">
        <v>585</v>
      </c>
    </row>
    <row r="33" spans="1:4">
      <c r="C33" t="s">
        <v>586</v>
      </c>
    </row>
    <row r="34" spans="1:4">
      <c r="C34" t="s">
        <v>442</v>
      </c>
    </row>
    <row r="35" spans="1:4">
      <c r="C35" t="s">
        <v>587</v>
      </c>
    </row>
    <row r="36" spans="1:4">
      <c r="C36" t="s">
        <v>588</v>
      </c>
    </row>
    <row r="38" spans="1:4">
      <c r="A38" t="s">
        <v>542</v>
      </c>
    </row>
    <row r="39" spans="1:4">
      <c r="B39" t="s">
        <v>589</v>
      </c>
    </row>
    <row r="40" spans="1:4">
      <c r="C40" t="s">
        <v>590</v>
      </c>
    </row>
    <row r="41" spans="1:4">
      <c r="D41" t="s">
        <v>591</v>
      </c>
    </row>
    <row r="42" spans="1:4">
      <c r="D42" t="s">
        <v>592</v>
      </c>
    </row>
    <row r="43" spans="1:4">
      <c r="D43" t="s">
        <v>593</v>
      </c>
    </row>
    <row r="44" spans="1:4">
      <c r="D44" t="s">
        <v>594</v>
      </c>
    </row>
    <row r="45" spans="1:4">
      <c r="D45" t="s">
        <v>595</v>
      </c>
    </row>
    <row r="46" spans="1:4">
      <c r="D46" t="s">
        <v>596</v>
      </c>
    </row>
    <row r="47" spans="1:4">
      <c r="C47" t="s">
        <v>597</v>
      </c>
    </row>
    <row r="48" spans="1:4">
      <c r="C48" t="s">
        <v>598</v>
      </c>
    </row>
    <row r="50" spans="2:4">
      <c r="B50" t="s">
        <v>599</v>
      </c>
    </row>
    <row r="51" spans="2:4">
      <c r="C51" t="s">
        <v>600</v>
      </c>
    </row>
    <row r="52" spans="2:4">
      <c r="D52" t="s">
        <v>601</v>
      </c>
    </row>
    <row r="53" spans="2:4">
      <c r="D53" t="s">
        <v>602</v>
      </c>
    </row>
    <row r="54" spans="2:4">
      <c r="C54" t="s">
        <v>603</v>
      </c>
    </row>
    <row r="55" spans="2:4">
      <c r="C55" t="s">
        <v>604</v>
      </c>
    </row>
    <row r="56" spans="2:4">
      <c r="C56" t="s">
        <v>605</v>
      </c>
    </row>
    <row r="57" spans="2:4">
      <c r="C57" t="s">
        <v>606</v>
      </c>
    </row>
    <row r="58" spans="2:4">
      <c r="C58" t="s">
        <v>607</v>
      </c>
    </row>
    <row r="59" spans="2:4">
      <c r="C59" t="s">
        <v>608</v>
      </c>
    </row>
    <row r="60" spans="2:4">
      <c r="C60" t="s">
        <v>609</v>
      </c>
    </row>
    <row r="61" spans="2:4">
      <c r="C61" t="s">
        <v>610</v>
      </c>
    </row>
    <row r="62" spans="2:4">
      <c r="C62" t="s">
        <v>611</v>
      </c>
    </row>
    <row r="63" spans="2:4">
      <c r="C63" t="s">
        <v>612</v>
      </c>
    </row>
    <row r="65" spans="2:4">
      <c r="B65" t="s">
        <v>613</v>
      </c>
    </row>
    <row r="66" spans="2:4">
      <c r="C66" t="s">
        <v>614</v>
      </c>
    </row>
    <row r="67" spans="2:4">
      <c r="D67" t="s">
        <v>240</v>
      </c>
    </row>
    <row r="68" spans="2:4">
      <c r="D68" t="s">
        <v>615</v>
      </c>
    </row>
    <row r="69" spans="2:4">
      <c r="D69" t="s">
        <v>580</v>
      </c>
    </row>
    <row r="70" spans="2:4">
      <c r="C70" t="s">
        <v>616</v>
      </c>
    </row>
    <row r="71" spans="2:4">
      <c r="C71" t="s">
        <v>617</v>
      </c>
    </row>
    <row r="72" spans="2:4">
      <c r="C72" t="s">
        <v>618</v>
      </c>
    </row>
    <row r="73" spans="2:4">
      <c r="C73" t="s">
        <v>619</v>
      </c>
    </row>
    <row r="74" spans="2:4">
      <c r="C74" t="s">
        <v>620</v>
      </c>
    </row>
    <row r="75" spans="2:4">
      <c r="C75" t="s">
        <v>621</v>
      </c>
    </row>
    <row r="76" spans="2:4">
      <c r="C76" t="s">
        <v>622</v>
      </c>
    </row>
    <row r="78" spans="2:4">
      <c r="B78" t="s">
        <v>623</v>
      </c>
    </row>
    <row r="79" spans="2:4">
      <c r="C79" t="s">
        <v>624</v>
      </c>
    </row>
    <row r="80" spans="2:4">
      <c r="D80" t="s">
        <v>625</v>
      </c>
    </row>
    <row r="81" spans="3:4">
      <c r="D81" t="s">
        <v>626</v>
      </c>
    </row>
    <row r="82" spans="3:4">
      <c r="C82" t="s">
        <v>627</v>
      </c>
    </row>
    <row r="83" spans="3:4">
      <c r="C83" t="s">
        <v>628</v>
      </c>
    </row>
    <row r="84" spans="3:4">
      <c r="D84" t="s">
        <v>629</v>
      </c>
    </row>
    <row r="85" spans="3:4">
      <c r="D85" t="s">
        <v>630</v>
      </c>
    </row>
    <row r="86" spans="3:4">
      <c r="C86" t="s">
        <v>631</v>
      </c>
    </row>
    <row r="87" spans="3:4">
      <c r="C87" t="s">
        <v>632</v>
      </c>
    </row>
    <row r="88" spans="3:4">
      <c r="C88" t="s">
        <v>633</v>
      </c>
    </row>
    <row r="89" spans="3:4">
      <c r="C89" t="s">
        <v>634</v>
      </c>
    </row>
    <row r="90" spans="3:4">
      <c r="C90" t="s">
        <v>635</v>
      </c>
    </row>
    <row r="91" spans="3:4">
      <c r="C91" t="s">
        <v>636</v>
      </c>
    </row>
    <row r="92" spans="3:4">
      <c r="C92" t="s">
        <v>637</v>
      </c>
    </row>
    <row r="93" spans="3:4">
      <c r="C93" t="s">
        <v>638</v>
      </c>
    </row>
    <row r="94" spans="3:4">
      <c r="C94" t="s">
        <v>639</v>
      </c>
    </row>
    <row r="95" spans="3:4">
      <c r="C95" t="s">
        <v>640</v>
      </c>
    </row>
    <row r="97" spans="1:3">
      <c r="B97" t="s">
        <v>641</v>
      </c>
    </row>
    <row r="98" spans="1:3">
      <c r="C98" t="s">
        <v>642</v>
      </c>
    </row>
    <row r="99" spans="1:3">
      <c r="C99" t="s">
        <v>643</v>
      </c>
    </row>
    <row r="101" spans="1:3">
      <c r="B101" t="s">
        <v>644</v>
      </c>
    </row>
    <row r="102" spans="1:3">
      <c r="C102" t="s">
        <v>645</v>
      </c>
    </row>
    <row r="103" spans="1:3">
      <c r="C103" t="s">
        <v>646</v>
      </c>
    </row>
    <row r="104" spans="1:3">
      <c r="C104" t="s">
        <v>647</v>
      </c>
    </row>
    <row r="105" spans="1:3">
      <c r="C105" t="s">
        <v>648</v>
      </c>
    </row>
    <row r="106" spans="1:3">
      <c r="C106" t="s">
        <v>649</v>
      </c>
    </row>
    <row r="108" spans="1:3">
      <c r="B108" t="s">
        <v>650</v>
      </c>
    </row>
    <row r="109" spans="1:3">
      <c r="C109" t="s">
        <v>651</v>
      </c>
    </row>
    <row r="111" spans="1:3">
      <c r="A111" t="s">
        <v>544</v>
      </c>
    </row>
    <row r="112" spans="1:3">
      <c r="B112" t="s">
        <v>652</v>
      </c>
    </row>
    <row r="113" spans="1:3">
      <c r="C113" t="s">
        <v>653</v>
      </c>
    </row>
    <row r="114" spans="1:3">
      <c r="C114" t="s">
        <v>654</v>
      </c>
    </row>
    <row r="116" spans="1:3">
      <c r="B116" t="s">
        <v>655</v>
      </c>
    </row>
    <row r="117" spans="1:3">
      <c r="C117" t="s">
        <v>656</v>
      </c>
    </row>
    <row r="118" spans="1:3">
      <c r="C118" t="s">
        <v>657</v>
      </c>
    </row>
    <row r="120" spans="1:3">
      <c r="B120" t="s">
        <v>658</v>
      </c>
    </row>
    <row r="121" spans="1:3">
      <c r="C121" t="s">
        <v>659</v>
      </c>
    </row>
    <row r="122" spans="1:3">
      <c r="C122" t="s">
        <v>660</v>
      </c>
    </row>
    <row r="124" spans="1:3">
      <c r="B124" t="s">
        <v>661</v>
      </c>
    </row>
    <row r="125" spans="1:3">
      <c r="C125" t="s">
        <v>662</v>
      </c>
    </row>
    <row r="127" spans="1:3">
      <c r="A127" t="s">
        <v>532</v>
      </c>
    </row>
    <row r="128" spans="1:3">
      <c r="B128" t="s">
        <v>663</v>
      </c>
    </row>
    <row r="129" spans="3:3">
      <c r="C129" t="s">
        <v>534</v>
      </c>
    </row>
    <row r="130" spans="3:3">
      <c r="C130" t="s">
        <v>536</v>
      </c>
    </row>
    <row r="131" spans="3:3">
      <c r="C131" t="s">
        <v>538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D1F65-9581-D746-A76E-5F3962789430}">
  <dimension ref="B1:O40"/>
  <sheetViews>
    <sheetView showGridLines="0" workbookViewId="0">
      <selection activeCell="G8" sqref="G8"/>
    </sheetView>
  </sheetViews>
  <sheetFormatPr baseColWidth="10" defaultRowHeight="18"/>
  <cols>
    <col min="1" max="1" width="10.7109375" style="1"/>
    <col min="2" max="2" width="10.7109375" style="213"/>
    <col min="3" max="3" width="15.7109375" style="77" bestFit="1" customWidth="1"/>
    <col min="4" max="4" width="10.7109375" style="213"/>
    <col min="5" max="5" width="12.140625" style="213" bestFit="1" customWidth="1"/>
    <col min="6" max="15" width="10.7109375" style="213"/>
    <col min="16" max="16384" width="10.7109375" style="1"/>
  </cols>
  <sheetData>
    <row r="1" spans="2:15" ht="25" customHeight="1"/>
    <row r="2" spans="2:15" ht="25" customHeight="1">
      <c r="F2" s="214"/>
      <c r="G2" s="214"/>
      <c r="H2" s="214"/>
    </row>
    <row r="3" spans="2:15" ht="50" customHeight="1">
      <c r="B3" s="215" t="s">
        <v>292</v>
      </c>
      <c r="C3" s="220" t="s">
        <v>464</v>
      </c>
      <c r="D3" s="216" t="s">
        <v>465</v>
      </c>
      <c r="E3" s="216" t="s">
        <v>474</v>
      </c>
      <c r="F3" s="216" t="s">
        <v>466</v>
      </c>
      <c r="G3" s="216" t="s">
        <v>467</v>
      </c>
      <c r="H3" s="216" t="s">
        <v>468</v>
      </c>
      <c r="I3" s="216" t="s">
        <v>469</v>
      </c>
      <c r="J3" s="216" t="s">
        <v>470</v>
      </c>
      <c r="K3" s="216" t="s">
        <v>471</v>
      </c>
      <c r="L3" s="215"/>
      <c r="M3" s="215"/>
      <c r="N3" s="215"/>
      <c r="O3" s="215"/>
    </row>
    <row r="4" spans="2:15" ht="25" customHeight="1">
      <c r="B4" s="217" t="s">
        <v>227</v>
      </c>
      <c r="C4" s="221" t="s">
        <v>476</v>
      </c>
      <c r="D4" s="218">
        <f>広告!C5</f>
        <v>1</v>
      </c>
      <c r="E4" s="219">
        <f>広告!C6</f>
        <v>3620609</v>
      </c>
      <c r="F4" s="219">
        <f>$E$4*L4</f>
        <v>2172365.4</v>
      </c>
      <c r="G4" s="219">
        <f t="shared" ref="G4:H4" si="0">$E$4*M4</f>
        <v>905152.25</v>
      </c>
      <c r="H4" s="219">
        <f t="shared" si="0"/>
        <v>543091.35</v>
      </c>
      <c r="I4" s="217" t="s">
        <v>472</v>
      </c>
      <c r="J4" s="217" t="s">
        <v>472</v>
      </c>
      <c r="K4" s="217" t="s">
        <v>472</v>
      </c>
      <c r="L4" s="218">
        <v>0.6</v>
      </c>
      <c r="M4" s="218">
        <v>0.25</v>
      </c>
      <c r="N4" s="218">
        <v>0.15</v>
      </c>
      <c r="O4" s="218">
        <f>SUM(L4:N4)</f>
        <v>1</v>
      </c>
    </row>
    <row r="5" spans="2:15" ht="25" customHeight="1">
      <c r="B5" s="217" t="s">
        <v>228</v>
      </c>
      <c r="C5" s="221" t="s">
        <v>477</v>
      </c>
      <c r="D5" s="218">
        <f>広告!D5</f>
        <v>0</v>
      </c>
      <c r="E5" s="219">
        <f>広告!D6</f>
        <v>0</v>
      </c>
      <c r="F5" s="219">
        <f>$E$5*L5</f>
        <v>0</v>
      </c>
      <c r="G5" s="219">
        <f t="shared" ref="G5:H5" si="1">$E$5*M5</f>
        <v>0</v>
      </c>
      <c r="H5" s="219">
        <f t="shared" si="1"/>
        <v>0</v>
      </c>
      <c r="I5" s="217" t="s">
        <v>472</v>
      </c>
      <c r="J5" s="217" t="s">
        <v>472</v>
      </c>
      <c r="K5" s="217" t="s">
        <v>472</v>
      </c>
      <c r="L5" s="218">
        <v>0.15</v>
      </c>
      <c r="M5" s="218">
        <v>0.6</v>
      </c>
      <c r="N5" s="218">
        <v>0.25</v>
      </c>
      <c r="O5" s="218">
        <f t="shared" ref="O5:O7" si="2">SUM(L5:N5)</f>
        <v>1</v>
      </c>
    </row>
    <row r="6" spans="2:15" ht="25" customHeight="1">
      <c r="B6" s="217" t="s">
        <v>229</v>
      </c>
      <c r="C6" s="221" t="s">
        <v>467</v>
      </c>
      <c r="D6" s="218">
        <f>広告!E5</f>
        <v>0</v>
      </c>
      <c r="E6" s="219">
        <f>広告!E6</f>
        <v>0</v>
      </c>
      <c r="F6" s="217" t="s">
        <v>472</v>
      </c>
      <c r="G6" s="219">
        <f>$E$6*L6</f>
        <v>0</v>
      </c>
      <c r="H6" s="219">
        <f t="shared" ref="H6:I6" si="3">$E$6*M6</f>
        <v>0</v>
      </c>
      <c r="I6" s="219">
        <f t="shared" si="3"/>
        <v>0</v>
      </c>
      <c r="J6" s="217" t="s">
        <v>472</v>
      </c>
      <c r="K6" s="217" t="s">
        <v>472</v>
      </c>
      <c r="L6" s="218">
        <v>0.3</v>
      </c>
      <c r="M6" s="218">
        <v>0.4</v>
      </c>
      <c r="N6" s="218">
        <v>0.3</v>
      </c>
      <c r="O6" s="218">
        <f t="shared" si="2"/>
        <v>1</v>
      </c>
    </row>
    <row r="7" spans="2:15" ht="25" customHeight="1">
      <c r="B7" s="217" t="s">
        <v>230</v>
      </c>
      <c r="C7" s="221" t="s">
        <v>468</v>
      </c>
      <c r="D7" s="218">
        <f>広告!F5</f>
        <v>0</v>
      </c>
      <c r="E7" s="219">
        <f>広告!F6</f>
        <v>0</v>
      </c>
      <c r="F7" s="217" t="s">
        <v>472</v>
      </c>
      <c r="G7" s="217" t="s">
        <v>472</v>
      </c>
      <c r="H7" s="219">
        <f>$E$7*L7</f>
        <v>0</v>
      </c>
      <c r="I7" s="219">
        <f t="shared" ref="I7:J7" si="4">$E$7*M7</f>
        <v>0</v>
      </c>
      <c r="J7" s="219">
        <f t="shared" si="4"/>
        <v>0</v>
      </c>
      <c r="K7" s="217" t="s">
        <v>472</v>
      </c>
      <c r="L7" s="218">
        <v>0.6</v>
      </c>
      <c r="M7" s="218">
        <v>0.25</v>
      </c>
      <c r="N7" s="218">
        <v>0.15</v>
      </c>
      <c r="O7" s="218">
        <f t="shared" si="2"/>
        <v>1</v>
      </c>
    </row>
    <row r="8" spans="2:15" ht="25" customHeight="1">
      <c r="B8" s="217"/>
      <c r="C8" s="221"/>
      <c r="D8" s="218">
        <f>SUM(D4:D7)</f>
        <v>1</v>
      </c>
      <c r="E8" s="219">
        <f>SUM(E4:E7)</f>
        <v>3620609</v>
      </c>
      <c r="F8" s="219">
        <f>SUM(F4:F7)</f>
        <v>2172365.4</v>
      </c>
      <c r="G8" s="219">
        <f t="shared" ref="G8:I8" si="5">SUM(G4:G7)</f>
        <v>905152.25</v>
      </c>
      <c r="H8" s="219">
        <f t="shared" si="5"/>
        <v>543091.35</v>
      </c>
      <c r="I8" s="219">
        <f t="shared" si="5"/>
        <v>0</v>
      </c>
      <c r="J8" s="219">
        <f t="shared" ref="J8" si="6">SUM(J4:J7)</f>
        <v>0</v>
      </c>
      <c r="K8" s="219">
        <f t="shared" ref="K8" si="7">SUM(K4:K7)</f>
        <v>0</v>
      </c>
      <c r="L8" s="218"/>
      <c r="M8" s="218"/>
      <c r="N8" s="218"/>
      <c r="O8" s="218"/>
    </row>
    <row r="9" spans="2:15" ht="25" customHeight="1">
      <c r="B9" s="217"/>
      <c r="C9" s="221" t="s">
        <v>475</v>
      </c>
      <c r="D9" s="217"/>
      <c r="E9" s="219">
        <f>SUM(F9:K9)</f>
        <v>351.32552006835931</v>
      </c>
      <c r="F9" s="219">
        <f>シーズン概要!H24</f>
        <v>55.000000000000007</v>
      </c>
      <c r="G9" s="219">
        <f>シーズン概要!I24</f>
        <v>56.375</v>
      </c>
      <c r="H9" s="219">
        <f>シーズン概要!J24</f>
        <v>57.784374999999997</v>
      </c>
      <c r="I9" s="219">
        <f>シーズン概要!K24</f>
        <v>59.228984374999989</v>
      </c>
      <c r="J9" s="219">
        <f>シーズン概要!L24</f>
        <v>60.709708984374984</v>
      </c>
      <c r="K9" s="219">
        <f>シーズン概要!M24</f>
        <v>62.227451708984354</v>
      </c>
      <c r="L9" s="217"/>
      <c r="M9" s="217"/>
      <c r="N9" s="217"/>
      <c r="O9" s="217"/>
    </row>
    <row r="10" spans="2:15" ht="25" customHeight="1">
      <c r="B10" s="217"/>
      <c r="C10" s="221" t="s">
        <v>482</v>
      </c>
      <c r="D10" s="217"/>
      <c r="E10" s="217"/>
      <c r="F10" s="219">
        <f>F8/10000</f>
        <v>217.23653999999999</v>
      </c>
      <c r="G10" s="219">
        <f>F10+G8/10000</f>
        <v>307.75176499999998</v>
      </c>
      <c r="H10" s="219">
        <f t="shared" ref="H10:K10" si="8">G10+H8/10000</f>
        <v>362.06089999999995</v>
      </c>
      <c r="I10" s="219">
        <f t="shared" si="8"/>
        <v>362.06089999999995</v>
      </c>
      <c r="J10" s="219">
        <f t="shared" si="8"/>
        <v>362.06089999999995</v>
      </c>
      <c r="K10" s="219">
        <f t="shared" si="8"/>
        <v>362.06089999999995</v>
      </c>
      <c r="L10" s="217"/>
      <c r="M10" s="217"/>
      <c r="N10" s="217"/>
      <c r="O10" s="217"/>
    </row>
    <row r="11" spans="2:15" ht="25" customHeight="1"/>
    <row r="12" spans="2:15" ht="25" customHeight="1"/>
    <row r="13" spans="2:15" ht="25" customHeight="1"/>
    <row r="14" spans="2:15" ht="25" customHeight="1"/>
    <row r="15" spans="2:15" ht="25" customHeight="1"/>
    <row r="16" spans="2:15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phoneticPr fontId="3"/>
  <pageMargins left="0.7" right="0.7" top="0.75" bottom="0.75" header="0.3" footer="0.3"/>
  <pageSetup paperSize="256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8910-8BB0-284E-8418-F811C3767D26}">
  <dimension ref="B1:Z28"/>
  <sheetViews>
    <sheetView zoomScaleNormal="100" workbookViewId="0">
      <selection activeCell="B7" sqref="B7"/>
    </sheetView>
  </sheetViews>
  <sheetFormatPr baseColWidth="10" defaultColWidth="7.5703125" defaultRowHeight="20"/>
  <cols>
    <col min="1" max="1" width="7.5703125" style="80"/>
    <col min="2" max="2" width="11.28515625" style="80" customWidth="1"/>
    <col min="3" max="3" width="11" style="80" hidden="1" customWidth="1"/>
    <col min="4" max="4" width="11.28515625" style="80" hidden="1" customWidth="1"/>
    <col min="5" max="5" width="9.140625" style="80" hidden="1" customWidth="1"/>
    <col min="6" max="6" width="9.7109375" style="80" hidden="1" customWidth="1"/>
    <col min="7" max="7" width="15" style="80" customWidth="1"/>
    <col min="8" max="8" width="17.7109375" bestFit="1" customWidth="1"/>
    <col min="9" max="9" width="10.85546875" bestFit="1" customWidth="1"/>
    <col min="11" max="11" width="12.7109375" style="80" bestFit="1" customWidth="1"/>
    <col min="12" max="12" width="10.85546875" bestFit="1" customWidth="1"/>
    <col min="13" max="13" width="13.28515625" style="80" hidden="1" customWidth="1"/>
    <col min="14" max="14" width="9.140625" style="80" hidden="1" customWidth="1"/>
    <col min="15" max="15" width="12.28515625" style="80" hidden="1" customWidth="1"/>
    <col min="16" max="16" width="13.85546875" style="80" hidden="1" customWidth="1"/>
    <col min="17" max="17" width="10.7109375" style="80" hidden="1" customWidth="1"/>
    <col min="18" max="18" width="12.42578125" style="80" hidden="1" customWidth="1"/>
    <col min="19" max="19" width="10.7109375" style="80" customWidth="1"/>
    <col min="20" max="20" width="10.7109375" style="80" bestFit="1" customWidth="1"/>
    <col min="21" max="21" width="12.7109375" style="80" bestFit="1" customWidth="1"/>
    <col min="22" max="22" width="13.5703125" style="80" customWidth="1"/>
    <col min="23" max="23" width="12.85546875" style="80" bestFit="1" customWidth="1"/>
    <col min="24" max="24" width="12.42578125" style="80" bestFit="1" customWidth="1"/>
    <col min="25" max="25" width="10.7109375" style="80" bestFit="1" customWidth="1"/>
    <col min="26" max="27" width="7.140625" style="80" bestFit="1" customWidth="1"/>
    <col min="28" max="16384" width="7.5703125" style="80"/>
  </cols>
  <sheetData>
    <row r="1" spans="2:23" ht="16">
      <c r="H1" s="80"/>
      <c r="I1" s="80"/>
      <c r="J1" s="80"/>
      <c r="K1" s="236"/>
      <c r="L1" s="80"/>
      <c r="T1" s="236"/>
    </row>
    <row r="2" spans="2:23" ht="50" customHeight="1">
      <c r="B2" s="80" t="s">
        <v>531</v>
      </c>
      <c r="C2" s="126" t="s">
        <v>506</v>
      </c>
      <c r="D2" s="126" t="s">
        <v>507</v>
      </c>
      <c r="E2" s="92" t="s">
        <v>496</v>
      </c>
      <c r="F2" s="126" t="s">
        <v>508</v>
      </c>
      <c r="G2" s="126" t="s">
        <v>530</v>
      </c>
      <c r="H2" s="92" t="s">
        <v>172</v>
      </c>
      <c r="I2" s="92" t="s">
        <v>357</v>
      </c>
      <c r="J2" s="92" t="s">
        <v>358</v>
      </c>
      <c r="K2" s="92" t="s">
        <v>291</v>
      </c>
      <c r="L2" s="126" t="s">
        <v>462</v>
      </c>
      <c r="M2" s="92" t="s">
        <v>241</v>
      </c>
      <c r="N2" s="92" t="s">
        <v>247</v>
      </c>
      <c r="O2" s="92" t="s">
        <v>359</v>
      </c>
      <c r="P2" s="92" t="s">
        <v>274</v>
      </c>
      <c r="Q2" s="92" t="s">
        <v>360</v>
      </c>
      <c r="R2" s="92" t="s">
        <v>240</v>
      </c>
      <c r="S2" s="92" t="s">
        <v>208</v>
      </c>
      <c r="T2" s="92" t="s">
        <v>361</v>
      </c>
      <c r="U2" s="92" t="s">
        <v>246</v>
      </c>
      <c r="V2" s="92" t="s">
        <v>245</v>
      </c>
      <c r="W2" s="80" t="s">
        <v>292</v>
      </c>
    </row>
    <row r="3" spans="2:23" ht="79" customHeight="1">
      <c r="C3" s="1" t="s">
        <v>499</v>
      </c>
      <c r="D3" s="1" t="s">
        <v>513</v>
      </c>
      <c r="E3" s="224">
        <v>1</v>
      </c>
      <c r="F3" s="14" t="s">
        <v>495</v>
      </c>
      <c r="G3" s="1" t="str">
        <f>売上粗利計画[[#This Row],[ブランド
コード]]&amp;売上粗利計画[[#This Row],[シーズン
コード]]&amp;売上粗利計画[[#This Row],[回数]]&amp;売上粗利計画[[#This Row],[SKU
コード]]</f>
        <v>BWSS1_001</v>
      </c>
      <c r="H3" s="1" t="s">
        <v>13</v>
      </c>
      <c r="I3" s="1" t="s">
        <v>478</v>
      </c>
      <c r="J3" s="107" t="s">
        <v>510</v>
      </c>
      <c r="K3" s="232">
        <f>SKUカラー!K3</f>
        <v>90</v>
      </c>
      <c r="L3" s="230">
        <v>6500</v>
      </c>
      <c r="M3" s="232">
        <f>ROUNDUP(売上粗利計画[[#This Row],[原価]]/売上粗利計画[[#This Row],[原価率]],0)</f>
        <v>6905</v>
      </c>
      <c r="N3" s="232">
        <f>売上粗利計画[[#This Row],[生産枚数]]*売上粗利計画[[#This Row],[定価]]</f>
        <v>621450</v>
      </c>
      <c r="O3" s="231">
        <v>0.9</v>
      </c>
      <c r="P3" s="231">
        <v>0.1</v>
      </c>
      <c r="Q3" s="232">
        <f>ROUNDUP(売上粗利計画[[#This Row],[生産枚数]]*売上粗利計画[[#This Row],[消化率予測]]*(売上粗利計画[[#This Row],[定価]]*(1-売上粗利計画[[#This Row],[割引率]])),0)</f>
        <v>503375</v>
      </c>
      <c r="R3" s="232">
        <v>2900</v>
      </c>
      <c r="S3" s="231">
        <v>0.42</v>
      </c>
      <c r="T3" s="232">
        <f>売上粗利計画[[#This Row],[生産枚数]]*売上粗利計画[[#This Row],[原価]]</f>
        <v>261000</v>
      </c>
      <c r="U3" s="232">
        <f>売上粗利計画[[#This Row],[目標売上]]-(売上粗利計画[[#This Row],[原価]]*売上粗利計画[[#This Row],[生産枚数]]*売上粗利計画[[#This Row],[消化率予測]])</f>
        <v>268475</v>
      </c>
      <c r="V3" s="233">
        <f>売上粗利計画[[#This Row],[粗利]]/売上粗利計画[[#This Row],[目標売上]]</f>
        <v>0.53334988825428353</v>
      </c>
      <c r="W3" s="80" t="s">
        <v>227</v>
      </c>
    </row>
    <row r="4" spans="2:23" ht="79" customHeight="1">
      <c r="C4" s="1" t="s">
        <v>499</v>
      </c>
      <c r="D4" s="1" t="s">
        <v>513</v>
      </c>
      <c r="E4" s="224">
        <v>1</v>
      </c>
      <c r="F4" s="14" t="s">
        <v>495</v>
      </c>
      <c r="G4" s="1" t="str">
        <f>売上粗利計画[[#This Row],[ブランド
コード]]&amp;売上粗利計画[[#This Row],[シーズン
コード]]&amp;売上粗利計画[[#This Row],[回数]]&amp;売上粗利計画[[#This Row],[SKU
コード]]</f>
        <v>BWSS1_001</v>
      </c>
      <c r="H4" s="1" t="s">
        <v>168</v>
      </c>
      <c r="I4" s="1" t="s">
        <v>478</v>
      </c>
      <c r="J4" s="107" t="s">
        <v>510</v>
      </c>
      <c r="K4" s="232">
        <f>SKUカラー!K4</f>
        <v>162</v>
      </c>
      <c r="L4" s="230">
        <v>6500</v>
      </c>
      <c r="M4" s="232">
        <f>ROUNDUP(売上粗利計画[[#This Row],[原価]]/売上粗利計画[[#This Row],[原価率]],0)</f>
        <v>6977</v>
      </c>
      <c r="N4" s="232">
        <f>売上粗利計画[[#This Row],[生産枚数]]*売上粗利計画[[#This Row],[定価]]</f>
        <v>1130274</v>
      </c>
      <c r="O4" s="231">
        <v>0.9</v>
      </c>
      <c r="P4" s="231">
        <v>0.1</v>
      </c>
      <c r="Q4" s="232">
        <f>ROUNDUP(売上粗利計画[[#This Row],[生産枚数]]*売上粗利計画[[#This Row],[消化率予測]]*(売上粗利計画[[#This Row],[定価]]*(1-売上粗利計画[[#This Row],[割引率]])),0)</f>
        <v>915522</v>
      </c>
      <c r="R4" s="232">
        <v>2930</v>
      </c>
      <c r="S4" s="231">
        <v>0.42</v>
      </c>
      <c r="T4" s="232">
        <f>売上粗利計画[[#This Row],[生産枚数]]*売上粗利計画[[#This Row],[原価]]</f>
        <v>474660</v>
      </c>
      <c r="U4" s="232">
        <f>売上粗利計画[[#This Row],[目標売上]]-(売上粗利計画[[#This Row],[原価]]*売上粗利計画[[#This Row],[生産枚数]]*売上粗利計画[[#This Row],[消化率予測]])</f>
        <v>488328</v>
      </c>
      <c r="V4" s="233">
        <f>売上粗利計画[[#This Row],[粗利]]/売上粗利計画[[#This Row],[目標売上]]</f>
        <v>0.53338751007621876</v>
      </c>
      <c r="W4" s="80" t="s">
        <v>227</v>
      </c>
    </row>
    <row r="5" spans="2:23" ht="79" customHeight="1">
      <c r="C5" s="1" t="s">
        <v>499</v>
      </c>
      <c r="D5" s="1" t="s">
        <v>513</v>
      </c>
      <c r="E5" s="224">
        <v>1</v>
      </c>
      <c r="F5" s="14" t="s">
        <v>497</v>
      </c>
      <c r="G5" s="1" t="str">
        <f>売上粗利計画[[#This Row],[ブランド
コード]]&amp;売上粗利計画[[#This Row],[シーズン
コード]]&amp;売上粗利計画[[#This Row],[回数]]&amp;売上粗利計画[[#This Row],[SKU
コード]]</f>
        <v>BWSS1_002</v>
      </c>
      <c r="H5" s="1" t="s">
        <v>13</v>
      </c>
      <c r="I5" s="1" t="s">
        <v>478</v>
      </c>
      <c r="J5" s="107" t="s">
        <v>510</v>
      </c>
      <c r="K5" s="232">
        <f>SKUカラー!K6</f>
        <v>90</v>
      </c>
      <c r="L5" s="230">
        <v>6500</v>
      </c>
      <c r="M5" s="232">
        <f>ROUNDUP(売上粗利計画[[#This Row],[原価]]/売上粗利計画[[#This Row],[原価率]],0)</f>
        <v>6905</v>
      </c>
      <c r="N5" s="232">
        <f>売上粗利計画[[#This Row],[生産枚数]]*売上粗利計画[[#This Row],[定価]]</f>
        <v>621450</v>
      </c>
      <c r="O5" s="231">
        <v>0.9</v>
      </c>
      <c r="P5" s="231">
        <v>0.1</v>
      </c>
      <c r="Q5" s="232">
        <f>ROUNDUP(売上粗利計画[[#This Row],[生産枚数]]*売上粗利計画[[#This Row],[消化率予測]]*(売上粗利計画[[#This Row],[定価]]*(1-売上粗利計画[[#This Row],[割引率]])),0)</f>
        <v>503375</v>
      </c>
      <c r="R5" s="232">
        <v>2900</v>
      </c>
      <c r="S5" s="231">
        <v>0.42</v>
      </c>
      <c r="T5" s="232">
        <f>売上粗利計画[[#This Row],[生産枚数]]*売上粗利計画[[#This Row],[原価]]</f>
        <v>261000</v>
      </c>
      <c r="U5" s="232">
        <f>売上粗利計画[[#This Row],[目標売上]]-(売上粗利計画[[#This Row],[原価]]*売上粗利計画[[#This Row],[生産枚数]]*売上粗利計画[[#This Row],[消化率予測]])</f>
        <v>268475</v>
      </c>
      <c r="V5" s="233">
        <f>売上粗利計画[[#This Row],[粗利]]/売上粗利計画[[#This Row],[目標売上]]</f>
        <v>0.53334988825428353</v>
      </c>
      <c r="W5" s="80" t="s">
        <v>227</v>
      </c>
    </row>
    <row r="6" spans="2:23" ht="79" customHeight="1">
      <c r="C6" s="1" t="s">
        <v>499</v>
      </c>
      <c r="D6" s="1" t="s">
        <v>513</v>
      </c>
      <c r="E6" s="224">
        <v>1</v>
      </c>
      <c r="F6" s="14" t="s">
        <v>497</v>
      </c>
      <c r="G6" s="1" t="str">
        <f>売上粗利計画[[#This Row],[ブランド
コード]]&amp;売上粗利計画[[#This Row],[シーズン
コード]]&amp;売上粗利計画[[#This Row],[回数]]&amp;売上粗利計画[[#This Row],[SKU
コード]]</f>
        <v>BWSS1_002</v>
      </c>
      <c r="H6" s="1" t="s">
        <v>168</v>
      </c>
      <c r="I6" s="1" t="s">
        <v>478</v>
      </c>
      <c r="J6" s="107" t="s">
        <v>510</v>
      </c>
      <c r="K6" s="232">
        <f>SKUカラー!K7</f>
        <v>162</v>
      </c>
      <c r="L6" s="230">
        <v>6500</v>
      </c>
      <c r="M6" s="232">
        <f>ROUNDUP(売上粗利計画[[#This Row],[原価]]/売上粗利計画[[#This Row],[原価率]],0)</f>
        <v>6977</v>
      </c>
      <c r="N6" s="232">
        <f>売上粗利計画[[#This Row],[生産枚数]]*売上粗利計画[[#This Row],[定価]]</f>
        <v>1130274</v>
      </c>
      <c r="O6" s="231">
        <v>0.9</v>
      </c>
      <c r="P6" s="231">
        <v>0.1</v>
      </c>
      <c r="Q6" s="232">
        <f>ROUNDUP(売上粗利計画[[#This Row],[生産枚数]]*売上粗利計画[[#This Row],[消化率予測]]*(売上粗利計画[[#This Row],[定価]]*(1-売上粗利計画[[#This Row],[割引率]])),0)</f>
        <v>915522</v>
      </c>
      <c r="R6" s="232">
        <v>2930</v>
      </c>
      <c r="S6" s="231">
        <v>0.42</v>
      </c>
      <c r="T6" s="232">
        <f>売上粗利計画[[#This Row],[生産枚数]]*売上粗利計画[[#This Row],[原価]]</f>
        <v>474660</v>
      </c>
      <c r="U6" s="232">
        <f>売上粗利計画[[#This Row],[目標売上]]-(売上粗利計画[[#This Row],[原価]]*売上粗利計画[[#This Row],[生産枚数]]*売上粗利計画[[#This Row],[消化率予測]])</f>
        <v>488328</v>
      </c>
      <c r="V6" s="233">
        <f>売上粗利計画[[#This Row],[粗利]]/売上粗利計画[[#This Row],[目標売上]]</f>
        <v>0.53338751007621876</v>
      </c>
      <c r="W6" s="80" t="s">
        <v>227</v>
      </c>
    </row>
    <row r="7" spans="2:23" ht="79" customHeight="1" thickBot="1">
      <c r="C7" s="1" t="s">
        <v>499</v>
      </c>
      <c r="D7" s="1" t="s">
        <v>514</v>
      </c>
      <c r="E7" s="224">
        <v>1</v>
      </c>
      <c r="F7" s="14" t="s">
        <v>498</v>
      </c>
      <c r="G7" s="1" t="str">
        <f>売上粗利計画[[#This Row],[ブランド
コード]]&amp;売上粗利計画[[#This Row],[シーズン
コード]]&amp;売上粗利計画[[#This Row],[回数]]&amp;売上粗利計画[[#This Row],[SKU
コード]]</f>
        <v>BWFW1_003</v>
      </c>
      <c r="H7" s="1" t="s">
        <v>168</v>
      </c>
      <c r="I7" s="1" t="s">
        <v>478</v>
      </c>
      <c r="J7" s="107" t="s">
        <v>511</v>
      </c>
      <c r="K7" s="232">
        <f>SKUカラー!K9</f>
        <v>99</v>
      </c>
      <c r="L7" s="230">
        <v>10000</v>
      </c>
      <c r="M7" s="232">
        <f>ROUNDUP(売上粗利計画[[#This Row],[原価]]/売上粗利計画[[#This Row],[原価率]],0)</f>
        <v>9762</v>
      </c>
      <c r="N7" s="232">
        <f>売上粗利計画[[#This Row],[生産枚数]]*売上粗利計画[[#This Row],[定価]]</f>
        <v>966438</v>
      </c>
      <c r="O7" s="231">
        <v>0.9</v>
      </c>
      <c r="P7" s="231">
        <v>0.1</v>
      </c>
      <c r="Q7" s="232">
        <f>ROUNDUP(売上粗利計画[[#This Row],[生産枚数]]*売上粗利計画[[#This Row],[消化率予測]]*(売上粗利計画[[#This Row],[定価]]*(1-売上粗利計画[[#This Row],[割引率]])),0)</f>
        <v>782815</v>
      </c>
      <c r="R7" s="232">
        <v>4100</v>
      </c>
      <c r="S7" s="231">
        <v>0.42</v>
      </c>
      <c r="T7" s="232">
        <f>売上粗利計画[[#This Row],[生産枚数]]*売上粗利計画[[#This Row],[原価]]</f>
        <v>405900</v>
      </c>
      <c r="U7" s="232">
        <f>売上粗利計画[[#This Row],[目標売上]]-(売上粗利計画[[#This Row],[原価]]*売上粗利計画[[#This Row],[生産枚数]]*売上粗利計画[[#This Row],[消化率予測]])</f>
        <v>417505</v>
      </c>
      <c r="V7" s="233">
        <f>売上粗利計画[[#This Row],[粗利]]/売上粗利計画[[#This Row],[目標売上]]</f>
        <v>0.53333801728377717</v>
      </c>
      <c r="W7" s="80" t="s">
        <v>227</v>
      </c>
    </row>
    <row r="8" spans="2:23" ht="25" customHeight="1" thickTop="1">
      <c r="C8" s="127"/>
      <c r="D8" s="127"/>
      <c r="E8" s="127"/>
      <c r="F8" s="127"/>
      <c r="G8" s="127"/>
      <c r="H8" s="127"/>
      <c r="I8" s="127"/>
      <c r="J8" s="127"/>
      <c r="K8" s="128">
        <f>SUBTOTAL(109,売上粗利計画[生産枚数])</f>
        <v>603</v>
      </c>
      <c r="L8" s="128">
        <f>MEDIAN(売上粗利計画[ターゲット
上代_税抜])</f>
        <v>6500</v>
      </c>
      <c r="M8" s="128"/>
      <c r="N8" s="128">
        <f>SUBTOTAL(109,売上粗利計画[売上予測])</f>
        <v>4469886</v>
      </c>
      <c r="O8" s="129">
        <f>MEDIAN(売上粗利計画[[#Headers],[#Data],[消化率予測]])</f>
        <v>0.9</v>
      </c>
      <c r="P8" s="129">
        <f>MEDIAN(売上粗利計画[[#Headers],[#Data],[割引率]])</f>
        <v>0.1</v>
      </c>
      <c r="Q8" s="130">
        <f>SUBTOTAL(109,売上粗利計画[目標売上])</f>
        <v>3620609</v>
      </c>
      <c r="R8" s="128"/>
      <c r="S8" s="129">
        <f>MEDIAN(売上粗利計画[原価率])</f>
        <v>0.42</v>
      </c>
      <c r="T8" s="128">
        <f>SUBTOTAL(109,売上粗利計画[製造コスト])</f>
        <v>1877220</v>
      </c>
      <c r="U8" s="128">
        <f>SUBTOTAL(109,売上粗利計画[粗利])</f>
        <v>1931111</v>
      </c>
      <c r="V8" s="127"/>
      <c r="W8" s="127"/>
    </row>
    <row r="10" spans="2:23" ht="25" customHeight="1"/>
    <row r="11" spans="2:23" ht="25" customHeight="1"/>
    <row r="12" spans="2:23" ht="25" customHeight="1"/>
    <row r="13" spans="2:23" ht="25" customHeight="1"/>
    <row r="14" spans="2:23" ht="25" customHeight="1"/>
    <row r="15" spans="2:23" ht="25" customHeight="1"/>
    <row r="16" spans="2:23" ht="25" customHeight="1"/>
    <row r="17" spans="3:26" ht="25" customHeight="1"/>
    <row r="18" spans="3:26" ht="25" customHeight="1"/>
    <row r="19" spans="3:26" ht="25" customHeight="1"/>
    <row r="20" spans="3:26" ht="25" customHeight="1"/>
    <row r="21" spans="3:26" ht="25" customHeight="1"/>
    <row r="22" spans="3:26" ht="25" customHeight="1"/>
    <row r="23" spans="3:26" ht="25" customHeight="1"/>
    <row r="24" spans="3:26" ht="25" customHeight="1"/>
    <row r="25" spans="3:26" s="131" customFormat="1" ht="50" customHeight="1">
      <c r="C25" s="80"/>
      <c r="D25" s="80"/>
      <c r="E25" s="80"/>
      <c r="F25" s="80"/>
      <c r="G25" s="80"/>
      <c r="H25"/>
      <c r="I25"/>
      <c r="K25" s="80"/>
      <c r="L25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8" spans="3:26">
      <c r="C28" s="131"/>
      <c r="H28" s="131"/>
      <c r="I28" s="131"/>
    </row>
  </sheetData>
  <phoneticPr fontId="3"/>
  <conditionalFormatting sqref="M3:M7">
    <cfRule type="expression" dxfId="1" priority="1">
      <formula>ABS(M3-L3)/L3&gt;=0.1</formula>
    </cfRule>
  </conditionalFormatting>
  <pageMargins left="0.7" right="0.7" top="0.75" bottom="0.75" header="0.3" footer="0.3"/>
  <pageSetup paperSize="256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330B-D95C-F243-97C9-994CFFD9D419}">
  <dimension ref="B2:K42"/>
  <sheetViews>
    <sheetView topLeftCell="A19" zoomScaleNormal="100" workbookViewId="0">
      <selection activeCell="C26" sqref="C26"/>
    </sheetView>
  </sheetViews>
  <sheetFormatPr baseColWidth="10" defaultRowHeight="20"/>
  <cols>
    <col min="2" max="2" width="16.85546875" bestFit="1" customWidth="1"/>
    <col min="3" max="7" width="9.5703125" bestFit="1" customWidth="1"/>
  </cols>
  <sheetData>
    <row r="2" spans="2:7">
      <c r="B2" t="s">
        <v>362</v>
      </c>
      <c r="F2" t="s">
        <v>363</v>
      </c>
      <c r="G2">
        <v>2.5</v>
      </c>
    </row>
    <row r="4" spans="2:7">
      <c r="B4" t="s">
        <v>364</v>
      </c>
      <c r="C4" t="s">
        <v>227</v>
      </c>
      <c r="D4" t="s">
        <v>228</v>
      </c>
      <c r="E4" t="s">
        <v>229</v>
      </c>
      <c r="F4" t="s">
        <v>230</v>
      </c>
      <c r="G4" t="s">
        <v>365</v>
      </c>
    </row>
    <row r="5" spans="2:7">
      <c r="B5" t="s">
        <v>473</v>
      </c>
      <c r="C5" s="211">
        <f>C6/$G$6</f>
        <v>1</v>
      </c>
      <c r="D5" s="211">
        <f t="shared" ref="D5:F5" si="0">D6/$G$6</f>
        <v>0</v>
      </c>
      <c r="E5" s="211">
        <f t="shared" si="0"/>
        <v>0</v>
      </c>
      <c r="F5" s="211">
        <f t="shared" si="0"/>
        <v>0</v>
      </c>
      <c r="G5" s="212">
        <f>SUM(C5:F5)</f>
        <v>1</v>
      </c>
    </row>
    <row r="6" spans="2:7">
      <c r="B6" t="s">
        <v>366</v>
      </c>
      <c r="C6" s="132">
        <f>SUMIF(売上粗利計画!$W$3:$W$7,C4,売上粗利計画!$Q$3:$Q$7)</f>
        <v>3620609</v>
      </c>
      <c r="D6" s="132">
        <f>SUMIF(売上粗利計画!$W$3:$W$7,D4,売上粗利計画!$Q$3:$Q$7)</f>
        <v>0</v>
      </c>
      <c r="E6" s="132">
        <f>SUMIF(売上粗利計画!$W$3:$W$7,E4,売上粗利計画!$Q$3:$Q$7)</f>
        <v>0</v>
      </c>
      <c r="F6" s="132">
        <f>SUMIF(売上粗利計画!$W$3:$W$7,F4,売上粗利計画!$Q$3:$Q$7)</f>
        <v>0</v>
      </c>
      <c r="G6" s="132">
        <f>SUM(C6:F6)</f>
        <v>3620609</v>
      </c>
    </row>
    <row r="7" spans="2:7">
      <c r="B7" t="s">
        <v>362</v>
      </c>
      <c r="C7" s="132">
        <f>C6/$G$2</f>
        <v>1448243.6</v>
      </c>
      <c r="D7" s="132">
        <f t="shared" ref="D7:F7" si="1">D6/$G$2</f>
        <v>0</v>
      </c>
      <c r="E7" s="132">
        <f t="shared" si="1"/>
        <v>0</v>
      </c>
      <c r="F7" s="132">
        <f t="shared" si="1"/>
        <v>0</v>
      </c>
      <c r="G7">
        <f>SUM(C7:F7)</f>
        <v>1448243.6</v>
      </c>
    </row>
    <row r="8" spans="2:7">
      <c r="B8" t="s">
        <v>367</v>
      </c>
      <c r="C8" s="132"/>
      <c r="D8" s="132"/>
      <c r="E8" s="132"/>
      <c r="F8" s="132"/>
    </row>
    <row r="9" spans="2:7">
      <c r="B9" t="s">
        <v>368</v>
      </c>
      <c r="C9" s="132"/>
      <c r="D9" s="132"/>
      <c r="E9" s="132"/>
      <c r="F9" s="132"/>
    </row>
    <row r="10" spans="2:7">
      <c r="B10" s="133" t="s">
        <v>369</v>
      </c>
      <c r="C10" s="132">
        <v>30000</v>
      </c>
      <c r="D10" s="132">
        <v>30000</v>
      </c>
      <c r="E10" s="132">
        <v>30000</v>
      </c>
      <c r="F10" s="132">
        <v>30000</v>
      </c>
    </row>
    <row r="11" spans="2:7">
      <c r="B11" s="133" t="s">
        <v>370</v>
      </c>
      <c r="C11" s="132">
        <v>30000</v>
      </c>
      <c r="D11" s="132">
        <v>30000</v>
      </c>
      <c r="E11" s="132">
        <v>30000</v>
      </c>
      <c r="F11" s="132">
        <v>30000</v>
      </c>
    </row>
    <row r="12" spans="2:7">
      <c r="B12" t="s">
        <v>371</v>
      </c>
      <c r="C12" s="132">
        <f>C7-(C10+C11)</f>
        <v>1388243.6</v>
      </c>
      <c r="D12" s="132">
        <f>D7-(D10+D11)</f>
        <v>-60000</v>
      </c>
      <c r="E12" s="132">
        <f>E7-(E10+E11)</f>
        <v>-60000</v>
      </c>
      <c r="F12" s="132">
        <f>F7-(F10+F11)</f>
        <v>-60000</v>
      </c>
    </row>
    <row r="13" spans="2:7">
      <c r="B13" t="s">
        <v>372</v>
      </c>
      <c r="C13" s="132" t="s">
        <v>382</v>
      </c>
      <c r="D13" s="132"/>
      <c r="E13" s="132"/>
      <c r="F13" s="132"/>
    </row>
    <row r="14" spans="2:7">
      <c r="B14" s="133" t="s">
        <v>373</v>
      </c>
      <c r="C14" s="132">
        <f>C$12/5</f>
        <v>277648.72000000003</v>
      </c>
      <c r="D14" s="132">
        <f>D$12/5</f>
        <v>-12000</v>
      </c>
      <c r="E14" s="132">
        <f t="shared" ref="E14:F20" si="2">E$12/5</f>
        <v>-12000</v>
      </c>
      <c r="F14" s="132">
        <f t="shared" si="2"/>
        <v>-12000</v>
      </c>
    </row>
    <row r="15" spans="2:7">
      <c r="B15" s="133" t="s">
        <v>374</v>
      </c>
      <c r="C15" s="132">
        <f t="shared" ref="C15:D20" si="3">C$12/5</f>
        <v>277648.72000000003</v>
      </c>
      <c r="D15" s="132">
        <f t="shared" si="3"/>
        <v>-12000</v>
      </c>
      <c r="E15" s="132">
        <f t="shared" si="2"/>
        <v>-12000</v>
      </c>
      <c r="F15" s="132">
        <f t="shared" si="2"/>
        <v>-12000</v>
      </c>
    </row>
    <row r="16" spans="2:7">
      <c r="B16" t="s">
        <v>375</v>
      </c>
      <c r="C16" s="132" t="s">
        <v>382</v>
      </c>
      <c r="D16" s="132"/>
      <c r="E16" s="132"/>
      <c r="F16" s="132"/>
    </row>
    <row r="17" spans="2:10">
      <c r="B17" s="133" t="s">
        <v>369</v>
      </c>
      <c r="C17" s="132">
        <f t="shared" si="3"/>
        <v>277648.72000000003</v>
      </c>
      <c r="D17" s="132">
        <f t="shared" si="3"/>
        <v>-12000</v>
      </c>
      <c r="E17" s="132">
        <f t="shared" si="2"/>
        <v>-12000</v>
      </c>
      <c r="F17" s="132">
        <f t="shared" si="2"/>
        <v>-12000</v>
      </c>
    </row>
    <row r="18" spans="2:10">
      <c r="B18" s="133" t="s">
        <v>370</v>
      </c>
      <c r="C18" s="132">
        <f t="shared" si="3"/>
        <v>277648.72000000003</v>
      </c>
      <c r="D18" s="132">
        <f t="shared" si="3"/>
        <v>-12000</v>
      </c>
      <c r="E18" s="132">
        <f t="shared" si="2"/>
        <v>-12000</v>
      </c>
      <c r="F18" s="132">
        <f t="shared" si="2"/>
        <v>-12000</v>
      </c>
    </row>
    <row r="19" spans="2:10">
      <c r="B19" t="s">
        <v>376</v>
      </c>
      <c r="C19" s="132"/>
      <c r="D19" s="132"/>
      <c r="E19" s="132"/>
      <c r="F19" s="132"/>
    </row>
    <row r="20" spans="2:10">
      <c r="B20" s="133" t="s">
        <v>370</v>
      </c>
      <c r="C20" s="132">
        <f t="shared" si="3"/>
        <v>277648.72000000003</v>
      </c>
      <c r="D20" s="132">
        <f t="shared" si="3"/>
        <v>-12000</v>
      </c>
      <c r="E20" s="132">
        <f t="shared" si="2"/>
        <v>-12000</v>
      </c>
      <c r="F20" s="132">
        <f t="shared" si="2"/>
        <v>-12000</v>
      </c>
      <c r="G20" s="132">
        <f>SUM(C20:F20)</f>
        <v>241648.72000000003</v>
      </c>
    </row>
    <row r="21" spans="2:10">
      <c r="C21" s="132"/>
      <c r="D21" s="132"/>
      <c r="E21" s="132"/>
      <c r="F21" s="132"/>
    </row>
    <row r="22" spans="2:10">
      <c r="B22" t="s">
        <v>377</v>
      </c>
      <c r="C22" t="s">
        <v>227</v>
      </c>
      <c r="D22" t="s">
        <v>228</v>
      </c>
      <c r="E22" t="s">
        <v>229</v>
      </c>
      <c r="F22" t="s">
        <v>230</v>
      </c>
    </row>
    <row r="23" spans="2:10">
      <c r="B23" t="s">
        <v>378</v>
      </c>
      <c r="C23" s="132">
        <v>150000</v>
      </c>
      <c r="D23" s="132">
        <v>150000</v>
      </c>
      <c r="E23" s="132">
        <v>150000</v>
      </c>
      <c r="F23" s="132">
        <v>150000</v>
      </c>
      <c r="G23" s="132">
        <f>SUM(C23:F23)</f>
        <v>600000</v>
      </c>
    </row>
    <row r="24" spans="2:10">
      <c r="B24" t="s">
        <v>368</v>
      </c>
      <c r="C24" s="132">
        <v>6000</v>
      </c>
      <c r="D24" s="132">
        <v>6000</v>
      </c>
      <c r="E24" s="132">
        <v>6000</v>
      </c>
      <c r="F24" s="132">
        <v>6000</v>
      </c>
      <c r="G24" s="132">
        <f>SUM(C24:F24)</f>
        <v>24000</v>
      </c>
    </row>
    <row r="25" spans="2:10">
      <c r="B25" t="s">
        <v>379</v>
      </c>
      <c r="C25" s="132">
        <v>50000</v>
      </c>
      <c r="D25" s="132">
        <v>50000</v>
      </c>
      <c r="E25" s="132">
        <v>50000</v>
      </c>
      <c r="F25" s="132">
        <v>50000</v>
      </c>
      <c r="G25" s="132">
        <f>SUM(C25:F25)</f>
        <v>200000</v>
      </c>
      <c r="H25" t="s">
        <v>383</v>
      </c>
    </row>
    <row r="26" spans="2:10">
      <c r="B26" t="s">
        <v>380</v>
      </c>
      <c r="G26" s="132"/>
    </row>
    <row r="27" spans="2:10">
      <c r="B27" s="133" t="s">
        <v>384</v>
      </c>
      <c r="C27" s="132">
        <v>100000</v>
      </c>
      <c r="G27" s="132">
        <v>100000</v>
      </c>
      <c r="H27" s="132">
        <f>SUM(G27:G31)</f>
        <v>480000</v>
      </c>
    </row>
    <row r="28" spans="2:10">
      <c r="B28" s="133" t="s">
        <v>388</v>
      </c>
      <c r="C28" s="132">
        <v>80000</v>
      </c>
      <c r="G28" s="132">
        <v>80000</v>
      </c>
    </row>
    <row r="29" spans="2:10">
      <c r="B29" s="133" t="s">
        <v>385</v>
      </c>
      <c r="C29" s="132">
        <v>150000</v>
      </c>
      <c r="G29" s="132">
        <v>150000</v>
      </c>
      <c r="H29" t="s">
        <v>389</v>
      </c>
    </row>
    <row r="30" spans="2:10">
      <c r="B30" s="133" t="s">
        <v>386</v>
      </c>
      <c r="C30" s="132">
        <v>100000</v>
      </c>
      <c r="G30" s="132">
        <v>100000</v>
      </c>
    </row>
    <row r="31" spans="2:10">
      <c r="B31" s="133" t="s">
        <v>387</v>
      </c>
      <c r="C31" s="132">
        <v>50000</v>
      </c>
      <c r="G31" s="132">
        <v>50000</v>
      </c>
    </row>
    <row r="32" spans="2:10">
      <c r="B32" t="s">
        <v>381</v>
      </c>
      <c r="C32" s="132">
        <v>120000</v>
      </c>
      <c r="D32" s="132">
        <v>120000</v>
      </c>
      <c r="E32" s="132">
        <v>120000</v>
      </c>
      <c r="F32" s="132">
        <v>120000</v>
      </c>
      <c r="G32" s="132">
        <f>SUM(C32:F32)</f>
        <v>480000</v>
      </c>
      <c r="I32" s="132"/>
      <c r="J32" s="132"/>
    </row>
    <row r="33" spans="3:11">
      <c r="C33" s="132">
        <f>SUM(C23:C32)</f>
        <v>806000</v>
      </c>
      <c r="D33" s="132">
        <f t="shared" ref="D33:F33" si="4">SUM(D23:D32)</f>
        <v>326000</v>
      </c>
      <c r="E33" s="132">
        <f t="shared" si="4"/>
        <v>326000</v>
      </c>
      <c r="F33" s="132">
        <f t="shared" si="4"/>
        <v>326000</v>
      </c>
      <c r="G33" s="132">
        <f>SUM(G23:G32)</f>
        <v>1784000</v>
      </c>
    </row>
    <row r="36" spans="3:11">
      <c r="C36" s="132"/>
      <c r="D36" s="132"/>
      <c r="E36" s="132"/>
      <c r="F36" s="132"/>
      <c r="G36" s="132"/>
      <c r="H36" s="132"/>
      <c r="I36" s="132"/>
      <c r="J36" s="132"/>
      <c r="K36" s="132"/>
    </row>
    <row r="37" spans="3:11">
      <c r="C37" s="132"/>
      <c r="D37" s="132"/>
      <c r="E37" s="132"/>
      <c r="F37" s="132"/>
      <c r="G37" s="132"/>
      <c r="H37" s="132"/>
      <c r="I37" s="132"/>
      <c r="J37" s="132"/>
      <c r="K37" s="132"/>
    </row>
    <row r="38" spans="3:11">
      <c r="C38" s="132"/>
      <c r="D38" s="132"/>
      <c r="E38" s="132"/>
      <c r="F38" s="132"/>
      <c r="G38" s="132"/>
      <c r="H38" s="132"/>
      <c r="I38" s="132"/>
      <c r="J38" s="132"/>
      <c r="K38" s="132"/>
    </row>
    <row r="39" spans="3:11">
      <c r="K39" s="132"/>
    </row>
    <row r="40" spans="3:11">
      <c r="C40" s="132"/>
      <c r="D40" s="132"/>
      <c r="E40" s="132"/>
      <c r="F40" s="132"/>
      <c r="G40" s="132"/>
      <c r="H40" s="132"/>
      <c r="I40" s="132"/>
      <c r="J40" s="132"/>
      <c r="K40" s="132"/>
    </row>
    <row r="41" spans="3:11">
      <c r="K41" s="132"/>
    </row>
    <row r="42" spans="3:11">
      <c r="J42" s="134"/>
      <c r="K42" s="132"/>
    </row>
  </sheetData>
  <phoneticPr fontId="3"/>
  <pageMargins left="0.7" right="0.7" top="0.75" bottom="0.75" header="0.3" footer="0.3"/>
  <pageSetup paperSize="256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AD48-B79F-E648-AF3B-106D7AC16731}">
  <dimension ref="B2:K34"/>
  <sheetViews>
    <sheetView showGridLines="0" workbookViewId="0">
      <selection activeCell="B3" sqref="B3"/>
    </sheetView>
  </sheetViews>
  <sheetFormatPr baseColWidth="10" defaultColWidth="7.5703125" defaultRowHeight="18"/>
  <cols>
    <col min="1" max="1" width="7.5703125" style="51"/>
    <col min="2" max="2" width="19.28515625" style="51" bestFit="1" customWidth="1"/>
    <col min="3" max="3" width="19.140625" style="51" bestFit="1" customWidth="1"/>
    <col min="4" max="4" width="11.28515625" style="51" bestFit="1" customWidth="1"/>
    <col min="5" max="5" width="12" style="51" bestFit="1" customWidth="1"/>
    <col min="6" max="6" width="13.7109375" style="51" bestFit="1" customWidth="1"/>
    <col min="7" max="8" width="9.42578125" style="51" bestFit="1" customWidth="1"/>
    <col min="9" max="9" width="11.140625" style="51" bestFit="1" customWidth="1"/>
    <col min="10" max="10" width="11.140625" style="51" customWidth="1"/>
    <col min="11" max="11" width="14.85546875" style="51" bestFit="1" customWidth="1"/>
    <col min="12" max="16384" width="7.5703125" style="51"/>
  </cols>
  <sheetData>
    <row r="2" spans="2:11" ht="50" customHeight="1">
      <c r="B2" s="226" t="s">
        <v>530</v>
      </c>
      <c r="C2" s="227" t="s">
        <v>244</v>
      </c>
      <c r="D2" s="227" t="s">
        <v>243</v>
      </c>
      <c r="E2" s="227" t="s">
        <v>500</v>
      </c>
      <c r="F2" s="227" t="s">
        <v>242</v>
      </c>
      <c r="G2" s="227" t="s">
        <v>241</v>
      </c>
      <c r="H2" s="227" t="s">
        <v>240</v>
      </c>
      <c r="I2" s="227" t="s">
        <v>239</v>
      </c>
      <c r="J2" s="227" t="s">
        <v>292</v>
      </c>
      <c r="K2" s="227" t="s">
        <v>210</v>
      </c>
    </row>
    <row r="3" spans="2:11" ht="25" customHeight="1">
      <c r="B3" s="225" t="str">
        <f>売上粗利計画[[#This Row],[ブランド
コード]]&amp;売上粗利計画[[#This Row],[シーズン
コード]]&amp;売上粗利計画[[#This Row],[回数]]&amp;売上粗利計画[[#This Row],[SKU
コード]]</f>
        <v>BWSS1_001</v>
      </c>
      <c r="C3" s="225" t="str">
        <f>売上粗利計画[[#This Row],[アイテム名]]</f>
        <v>HS Tee</v>
      </c>
      <c r="D3" s="225" t="str">
        <f>売上粗利計画[[#This Row],[カテゴリ]]</f>
        <v>TOPS</v>
      </c>
      <c r="E3" s="225">
        <v>2</v>
      </c>
      <c r="F3" s="225" t="s">
        <v>515</v>
      </c>
      <c r="G3" s="228">
        <f>売上粗利計画[[#This Row],[定価]]</f>
        <v>6905</v>
      </c>
      <c r="H3" s="228">
        <f>売上粗利計画[[#This Row],[原価]]</f>
        <v>2900</v>
      </c>
      <c r="I3" s="228">
        <f>売上粗利計画[[#This Row],[生産枚数]]</f>
        <v>90</v>
      </c>
      <c r="J3" s="228" t="str">
        <f>売上粗利計画[[#This Row],[DEL]]</f>
        <v>D1</v>
      </c>
      <c r="K3" s="225"/>
    </row>
    <row r="4" spans="2:11" ht="25" customHeight="1">
      <c r="B4" s="225" t="str">
        <f>売上粗利計画[[#This Row],[ブランド
コード]]&amp;売上粗利計画[[#This Row],[シーズン
コード]]&amp;売上粗利計画[[#This Row],[回数]]&amp;売上粗利計画[[#This Row],[SKU
コード]]</f>
        <v>BWSS1_001</v>
      </c>
      <c r="C4" s="225" t="str">
        <f>売上粗利計画[[#This Row],[アイテム名]]</f>
        <v>HS Tee</v>
      </c>
      <c r="D4" s="225" t="str">
        <f>売上粗利計画[[#This Row],[カテゴリ]]</f>
        <v>TOPS</v>
      </c>
      <c r="E4" s="225">
        <v>2</v>
      </c>
      <c r="F4" s="225" t="s">
        <v>515</v>
      </c>
      <c r="G4" s="228">
        <f>売上粗利計画[[#This Row],[定価]]</f>
        <v>6977</v>
      </c>
      <c r="H4" s="228">
        <f>売上粗利計画[[#This Row],[原価]]</f>
        <v>2930</v>
      </c>
      <c r="I4" s="228">
        <f>売上粗利計画[[#This Row],[生産枚数]]</f>
        <v>162</v>
      </c>
      <c r="J4" s="228" t="str">
        <f>売上粗利計画[[#This Row],[DEL]]</f>
        <v>D1</v>
      </c>
      <c r="K4" s="225"/>
    </row>
    <row r="5" spans="2:11" ht="25" customHeight="1">
      <c r="B5" s="225" t="str">
        <f>売上粗利計画[[#This Row],[ブランド
コード]]&amp;売上粗利計画[[#This Row],[シーズン
コード]]&amp;売上粗利計画[[#This Row],[回数]]&amp;売上粗利計画[[#This Row],[SKU
コード]]</f>
        <v>BWSS1_002</v>
      </c>
      <c r="C5" s="225" t="str">
        <f>売上粗利計画[[#This Row],[アイテム名]]</f>
        <v>HS Tee</v>
      </c>
      <c r="D5" s="225" t="str">
        <f>売上粗利計画[[#This Row],[カテゴリ]]</f>
        <v>TOPS</v>
      </c>
      <c r="E5" s="225">
        <v>2</v>
      </c>
      <c r="F5" s="225" t="s">
        <v>515</v>
      </c>
      <c r="G5" s="228">
        <f>売上粗利計画[[#This Row],[定価]]</f>
        <v>6905</v>
      </c>
      <c r="H5" s="228">
        <f>売上粗利計画[[#This Row],[原価]]</f>
        <v>2900</v>
      </c>
      <c r="I5" s="228">
        <f>売上粗利計画[[#This Row],[生産枚数]]</f>
        <v>90</v>
      </c>
      <c r="J5" s="228" t="str">
        <f>売上粗利計画[[#This Row],[DEL]]</f>
        <v>D1</v>
      </c>
      <c r="K5" s="225"/>
    </row>
    <row r="6" spans="2:11" ht="25" customHeight="1">
      <c r="B6" s="225" t="str">
        <f>売上粗利計画[[#This Row],[ブランド
コード]]&amp;売上粗利計画[[#This Row],[シーズン
コード]]&amp;売上粗利計画[[#This Row],[回数]]&amp;売上粗利計画[[#This Row],[SKU
コード]]</f>
        <v>BWSS1_002</v>
      </c>
      <c r="C6" s="225" t="str">
        <f>売上粗利計画[[#This Row],[アイテム名]]</f>
        <v>HS Tee</v>
      </c>
      <c r="D6" s="225" t="str">
        <f>売上粗利計画[[#This Row],[カテゴリ]]</f>
        <v>TOPS</v>
      </c>
      <c r="E6" s="225">
        <v>3</v>
      </c>
      <c r="F6" s="225" t="s">
        <v>238</v>
      </c>
      <c r="G6" s="228">
        <f>売上粗利計画[[#This Row],[定価]]</f>
        <v>6977</v>
      </c>
      <c r="H6" s="228">
        <f>売上粗利計画[[#This Row],[原価]]</f>
        <v>2930</v>
      </c>
      <c r="I6" s="228">
        <f>売上粗利計画[[#This Row],[生産枚数]]</f>
        <v>162</v>
      </c>
      <c r="J6" s="228" t="str">
        <f>売上粗利計画[[#This Row],[DEL]]</f>
        <v>D1</v>
      </c>
      <c r="K6" s="225"/>
    </row>
    <row r="7" spans="2:11" ht="25" customHeight="1">
      <c r="B7" s="225" t="str">
        <f>売上粗利計画[[#This Row],[ブランド
コード]]&amp;売上粗利計画[[#This Row],[シーズン
コード]]&amp;売上粗利計画[[#This Row],[回数]]&amp;売上粗利計画[[#This Row],[SKU
コード]]</f>
        <v>BWFW1_003</v>
      </c>
      <c r="C7" s="225" t="str">
        <f>売上粗利計画[[#This Row],[アイテム名]]</f>
        <v>P/O Parka</v>
      </c>
      <c r="D7" s="225" t="str">
        <f>売上粗利計画[[#This Row],[カテゴリ]]</f>
        <v>TOPS</v>
      </c>
      <c r="E7" s="225">
        <v>4</v>
      </c>
      <c r="F7" s="225" t="s">
        <v>501</v>
      </c>
      <c r="G7" s="228">
        <f>売上粗利計画[[#This Row],[定価]]</f>
        <v>9762</v>
      </c>
      <c r="H7" s="228">
        <f>売上粗利計画[[#This Row],[原価]]</f>
        <v>4100</v>
      </c>
      <c r="I7" s="228">
        <f>売上粗利計画[[#This Row],[生産枚数]]</f>
        <v>99</v>
      </c>
      <c r="J7" s="228" t="str">
        <f>売上粗利計画[[#This Row],[DEL]]</f>
        <v>D1</v>
      </c>
      <c r="K7" s="225"/>
    </row>
    <row r="8" spans="2:11" ht="25" customHeight="1">
      <c r="B8" s="1"/>
      <c r="C8" s="1"/>
      <c r="D8" s="1"/>
      <c r="E8" s="1"/>
      <c r="F8" s="1"/>
      <c r="G8" s="229"/>
      <c r="H8" s="229"/>
      <c r="I8" s="229">
        <f>SUM(テーブル2[在庫数])</f>
        <v>603</v>
      </c>
      <c r="J8" s="229"/>
      <c r="K8" s="1"/>
    </row>
    <row r="9" spans="2:11" ht="25" customHeight="1"/>
    <row r="10" spans="2:11" ht="25" customHeight="1"/>
    <row r="11" spans="2:11" ht="25" customHeight="1"/>
    <row r="12" spans="2:11" ht="25" customHeight="1"/>
    <row r="13" spans="2:11" ht="25" customHeight="1"/>
    <row r="14" spans="2:11" ht="25" customHeight="1"/>
    <row r="15" spans="2:11" ht="25" customHeight="1"/>
    <row r="16" spans="2:11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</sheetData>
  <phoneticPr fontId="3"/>
  <pageMargins left="0.7" right="0.7" top="0.75" bottom="0.75" header="0.3" footer="0.3"/>
  <pageSetup paperSize="256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04D8-FAB1-C84A-99D1-F003E26DC108}">
  <dimension ref="B2:Q40"/>
  <sheetViews>
    <sheetView showGridLines="0" workbookViewId="0">
      <selection activeCell="K9" sqref="K9"/>
    </sheetView>
  </sheetViews>
  <sheetFormatPr baseColWidth="10" defaultColWidth="7.5703125" defaultRowHeight="18"/>
  <cols>
    <col min="1" max="1" width="7.5703125" style="51"/>
    <col min="2" max="2" width="19.28515625" style="51" bestFit="1" customWidth="1"/>
    <col min="3" max="3" width="19.140625" style="51" bestFit="1" customWidth="1"/>
    <col min="4" max="4" width="11.28515625" style="51" bestFit="1" customWidth="1"/>
    <col min="5" max="5" width="18.5703125" style="51" bestFit="1" customWidth="1"/>
    <col min="6" max="6" width="7.140625" style="51" bestFit="1" customWidth="1"/>
    <col min="7" max="7" width="7.5703125" style="51" bestFit="1" customWidth="1"/>
    <col min="8" max="8" width="7" style="51" bestFit="1" customWidth="1"/>
    <col min="9" max="9" width="8.28515625" style="51" bestFit="1" customWidth="1"/>
    <col min="10" max="10" width="10.7109375" style="51" bestFit="1" customWidth="1"/>
    <col min="11" max="11" width="9.42578125" style="51" bestFit="1" customWidth="1"/>
    <col min="12" max="12" width="10.5703125" style="51" bestFit="1" customWidth="1"/>
    <col min="13" max="14" width="9.42578125" style="51" bestFit="1" customWidth="1"/>
    <col min="15" max="15" width="11.140625" style="51" bestFit="1" customWidth="1"/>
    <col min="16" max="16" width="11.140625" style="51" customWidth="1"/>
    <col min="17" max="17" width="14.85546875" style="51" bestFit="1" customWidth="1"/>
    <col min="18" max="16384" width="7.5703125" style="51"/>
  </cols>
  <sheetData>
    <row r="2" spans="2:17" ht="50" customHeight="1">
      <c r="B2" s="226" t="s">
        <v>7</v>
      </c>
      <c r="C2" s="227" t="s">
        <v>244</v>
      </c>
      <c r="D2" s="227" t="s">
        <v>243</v>
      </c>
      <c r="E2" s="227" t="s">
        <v>172</v>
      </c>
      <c r="F2" s="227" t="s">
        <v>4</v>
      </c>
      <c r="G2" s="227" t="s">
        <v>0</v>
      </c>
      <c r="H2" s="227" t="s">
        <v>14</v>
      </c>
      <c r="I2" s="227" t="s">
        <v>516</v>
      </c>
      <c r="J2" s="227" t="s">
        <v>519</v>
      </c>
      <c r="K2" s="227" t="s">
        <v>518</v>
      </c>
      <c r="L2" s="227" t="s">
        <v>529</v>
      </c>
      <c r="M2" s="227" t="s">
        <v>526</v>
      </c>
      <c r="N2" s="234" t="s">
        <v>525</v>
      </c>
      <c r="O2" s="227" t="s">
        <v>239</v>
      </c>
      <c r="P2" s="227" t="s">
        <v>292</v>
      </c>
      <c r="Q2" s="227" t="s">
        <v>210</v>
      </c>
    </row>
    <row r="3" spans="2:17" ht="25" customHeight="1">
      <c r="B3" s="225" t="s">
        <v>520</v>
      </c>
      <c r="C3" s="225" t="s">
        <v>509</v>
      </c>
      <c r="D3" s="225" t="str">
        <f>売上粗利計画[[#This Row],[カテゴリ]]</f>
        <v>TOPS</v>
      </c>
      <c r="E3" s="225" t="s">
        <v>13</v>
      </c>
      <c r="F3" s="225">
        <v>1</v>
      </c>
      <c r="G3" s="225">
        <v>3</v>
      </c>
      <c r="H3" s="225">
        <v>3</v>
      </c>
      <c r="I3" s="225">
        <v>2</v>
      </c>
      <c r="J3" s="225">
        <v>10</v>
      </c>
      <c r="K3" s="225">
        <f>SUM(SKUカラー[[#This Row],[S]:[XL]])*SKUカラー[[#This Row],[UNIT]]</f>
        <v>90</v>
      </c>
      <c r="L3" s="225"/>
      <c r="M3" s="228">
        <f>SKUマスタ!G3</f>
        <v>6905</v>
      </c>
      <c r="N3" s="228">
        <f>SKUマスタ!H3</f>
        <v>2900</v>
      </c>
      <c r="O3" s="228">
        <f>SKUマスタ!I3</f>
        <v>90</v>
      </c>
      <c r="P3" s="228" t="str">
        <f>売上粗利計画[[#This Row],[DEL]]</f>
        <v>D1</v>
      </c>
      <c r="Q3" s="225"/>
    </row>
    <row r="4" spans="2:17" ht="25" customHeight="1">
      <c r="B4" s="225" t="s">
        <v>520</v>
      </c>
      <c r="C4" s="225" t="s">
        <v>509</v>
      </c>
      <c r="D4" s="225" t="str">
        <f>売上粗利計画[[#This Row],[カテゴリ]]</f>
        <v>TOPS</v>
      </c>
      <c r="E4" s="225" t="s">
        <v>168</v>
      </c>
      <c r="F4" s="225">
        <v>1</v>
      </c>
      <c r="G4" s="225">
        <v>3</v>
      </c>
      <c r="H4" s="225">
        <v>3</v>
      </c>
      <c r="I4" s="225">
        <v>2</v>
      </c>
      <c r="J4" s="225">
        <v>18</v>
      </c>
      <c r="K4" s="225">
        <f>SUM(SKUカラー[[#This Row],[S]:[XL]])*SKUカラー[[#This Row],[UNIT]]</f>
        <v>162</v>
      </c>
      <c r="L4" s="225"/>
      <c r="M4" s="228">
        <f>SKUマスタ!G3</f>
        <v>6905</v>
      </c>
      <c r="N4" s="228">
        <f>SKUマスタ!H4</f>
        <v>2930</v>
      </c>
      <c r="O4" s="228">
        <f>SKUマスタ!I3</f>
        <v>90</v>
      </c>
      <c r="P4" s="228" t="str">
        <f>売上粗利計画[[#This Row],[DEL]]</f>
        <v>D1</v>
      </c>
      <c r="Q4" s="225"/>
    </row>
    <row r="5" spans="2:17" ht="25" customHeight="1">
      <c r="B5" s="225" t="s">
        <v>520</v>
      </c>
      <c r="C5" s="225"/>
      <c r="D5" s="225"/>
      <c r="E5" s="225"/>
      <c r="F5" s="225"/>
      <c r="G5" s="225"/>
      <c r="H5" s="225"/>
      <c r="I5" s="225"/>
      <c r="J5" s="225"/>
      <c r="K5" s="225"/>
      <c r="L5" s="225">
        <f t="shared" ref="L5" si="0">SUM($K3:$K4)</f>
        <v>252</v>
      </c>
      <c r="M5" s="228"/>
      <c r="N5" s="228"/>
      <c r="O5" s="228"/>
      <c r="P5" s="228"/>
      <c r="Q5" s="225"/>
    </row>
    <row r="6" spans="2:17" ht="25" customHeight="1">
      <c r="B6" s="225" t="s">
        <v>521</v>
      </c>
      <c r="C6" s="225" t="s">
        <v>523</v>
      </c>
      <c r="D6" s="225" t="s">
        <v>524</v>
      </c>
      <c r="E6" s="225" t="s">
        <v>13</v>
      </c>
      <c r="F6" s="225">
        <v>1</v>
      </c>
      <c r="G6" s="225">
        <v>3</v>
      </c>
      <c r="H6" s="225">
        <v>3</v>
      </c>
      <c r="I6" s="225">
        <v>2</v>
      </c>
      <c r="J6" s="225">
        <v>10</v>
      </c>
      <c r="K6" s="225">
        <f>SUM(SKUカラー[[#This Row],[S]:[XL]])*SKUカラー[[#This Row],[UNIT]]</f>
        <v>90</v>
      </c>
      <c r="L6" s="225"/>
      <c r="M6" s="228">
        <f>SKUマスタ!G4</f>
        <v>6977</v>
      </c>
      <c r="N6" s="228">
        <f>SKUマスタ!H5</f>
        <v>2900</v>
      </c>
      <c r="O6" s="228">
        <f>SKUマスタ!I4</f>
        <v>162</v>
      </c>
      <c r="P6" s="228" t="str">
        <f>売上粗利計画[[#This Row],[DEL]]</f>
        <v>D1</v>
      </c>
      <c r="Q6" s="225"/>
    </row>
    <row r="7" spans="2:17" ht="25" customHeight="1">
      <c r="B7" s="225" t="s">
        <v>521</v>
      </c>
      <c r="C7" s="225" t="s">
        <v>523</v>
      </c>
      <c r="D7" s="225" t="s">
        <v>524</v>
      </c>
      <c r="E7" s="225" t="s">
        <v>168</v>
      </c>
      <c r="F7" s="225">
        <v>1</v>
      </c>
      <c r="G7" s="225">
        <v>3</v>
      </c>
      <c r="H7" s="225">
        <v>3</v>
      </c>
      <c r="I7" s="225">
        <v>2</v>
      </c>
      <c r="J7" s="225">
        <v>18</v>
      </c>
      <c r="K7" s="225">
        <f>SUM(SKUカラー[[#This Row],[S]:[XL]])*SKUカラー[[#This Row],[UNIT]]</f>
        <v>162</v>
      </c>
      <c r="L7" s="225"/>
      <c r="M7" s="228">
        <f>SKUマスタ!G4</f>
        <v>6977</v>
      </c>
      <c r="N7" s="228">
        <f>SKUマスタ!H6</f>
        <v>2930</v>
      </c>
      <c r="O7" s="228">
        <f>SKUマスタ!I4</f>
        <v>162</v>
      </c>
      <c r="P7" s="228" t="str">
        <f>売上粗利計画[[#This Row],[DEL]]</f>
        <v>D1</v>
      </c>
      <c r="Q7" s="225"/>
    </row>
    <row r="8" spans="2:17" ht="25" customHeight="1">
      <c r="B8" s="225" t="s">
        <v>521</v>
      </c>
      <c r="C8" s="225"/>
      <c r="D8" s="225"/>
      <c r="E8" s="225"/>
      <c r="F8" s="225"/>
      <c r="G8" s="225"/>
      <c r="H8" s="225"/>
      <c r="I8" s="225"/>
      <c r="J8" s="225"/>
      <c r="K8" s="225"/>
      <c r="L8" s="225">
        <f>SUM($K6:$K7)</f>
        <v>252</v>
      </c>
      <c r="M8" s="228"/>
      <c r="N8" s="228"/>
      <c r="O8" s="228"/>
      <c r="P8" s="228"/>
      <c r="Q8" s="225"/>
    </row>
    <row r="9" spans="2:17" ht="25" customHeight="1">
      <c r="B9" s="225" t="s">
        <v>522</v>
      </c>
      <c r="C9" s="225" t="s">
        <v>511</v>
      </c>
      <c r="D9" s="225" t="str">
        <f>売上粗利計画!I7</f>
        <v>TOPS</v>
      </c>
      <c r="E9" s="225" t="s">
        <v>168</v>
      </c>
      <c r="F9" s="225">
        <v>1</v>
      </c>
      <c r="G9" s="225">
        <v>3</v>
      </c>
      <c r="H9" s="225">
        <v>3</v>
      </c>
      <c r="I9" s="225">
        <v>2</v>
      </c>
      <c r="J9" s="225">
        <v>11</v>
      </c>
      <c r="K9" s="225">
        <f>SUM(SKUカラー[[#This Row],[S]:[XL]])*SKUカラー[[#This Row],[UNIT]]</f>
        <v>99</v>
      </c>
      <c r="L9" s="225"/>
      <c r="M9" s="228">
        <f>SKUマスタ!G5</f>
        <v>6905</v>
      </c>
      <c r="N9" s="228">
        <f>SKUマスタ!H7</f>
        <v>4100</v>
      </c>
      <c r="O9" s="228">
        <f>SKUマスタ!I5</f>
        <v>90</v>
      </c>
      <c r="P9" s="228" t="str">
        <f>売上粗利計画!W7</f>
        <v>D1</v>
      </c>
      <c r="Q9" s="225"/>
    </row>
    <row r="10" spans="2:17" ht="25" customHeight="1"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>
        <f>SUM($K9)</f>
        <v>99</v>
      </c>
      <c r="M10" s="228"/>
      <c r="N10" s="228"/>
      <c r="O10" s="228"/>
      <c r="P10" s="228"/>
      <c r="Q10" s="225"/>
    </row>
    <row r="11" spans="2:17" ht="25" customHeight="1"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8"/>
      <c r="N11" s="228"/>
      <c r="O11" s="228"/>
      <c r="P11" s="228"/>
      <c r="Q11" s="225"/>
    </row>
    <row r="12" spans="2:17" ht="2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229"/>
      <c r="N12" s="229"/>
      <c r="O12" s="229">
        <f>SUM(SKUカラー[在庫数])</f>
        <v>594</v>
      </c>
      <c r="P12" s="229"/>
      <c r="Q12" s="1"/>
    </row>
    <row r="13" spans="2:17" ht="25" customHeight="1"/>
    <row r="14" spans="2:17" ht="25" customHeight="1">
      <c r="B14" s="51" t="s">
        <v>528</v>
      </c>
      <c r="C14" s="51" t="s">
        <v>527</v>
      </c>
    </row>
    <row r="15" spans="2:17" ht="25" customHeight="1"/>
    <row r="16" spans="2:17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</sheetData>
  <phoneticPr fontId="3"/>
  <pageMargins left="0.7" right="0.7" top="0.75" bottom="0.75" header="0.3" footer="0.3"/>
  <pageSetup paperSize="256" orientation="portrait" horizontalDpi="0" verticalDpi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07C3-C014-F744-A4E9-F993E5C79C21}">
  <dimension ref="B1:L111"/>
  <sheetViews>
    <sheetView workbookViewId="0">
      <selection activeCell="E4" sqref="E4"/>
    </sheetView>
  </sheetViews>
  <sheetFormatPr baseColWidth="10" defaultColWidth="10.7109375" defaultRowHeight="20"/>
  <cols>
    <col min="1" max="1" width="10.7109375" style="1"/>
    <col min="2" max="2" width="19.28515625" style="1" customWidth="1"/>
    <col min="3" max="3" width="19.28515625" style="1" bestFit="1" customWidth="1"/>
    <col min="4" max="4" width="23.140625" bestFit="1" customWidth="1"/>
    <col min="5" max="5" width="23.140625" style="1" bestFit="1" customWidth="1"/>
    <col min="6" max="6" width="19.140625" style="1" bestFit="1" customWidth="1"/>
    <col min="7" max="7" width="15.140625" style="1" bestFit="1" customWidth="1"/>
    <col min="8" max="8" width="17.7109375" style="1" bestFit="1" customWidth="1"/>
    <col min="9" max="9" width="9.85546875" style="1" bestFit="1" customWidth="1"/>
    <col min="10" max="10" width="9.28515625" style="1" bestFit="1" customWidth="1"/>
    <col min="11" max="11" width="20.85546875" style="1" bestFit="1" customWidth="1"/>
    <col min="12" max="12" width="23.140625" style="1" bestFit="1" customWidth="1"/>
    <col min="13" max="16384" width="10.7109375" style="1"/>
  </cols>
  <sheetData>
    <row r="1" spans="2:12" ht="18">
      <c r="D1" s="1"/>
    </row>
    <row r="2" spans="2:12" ht="67" customHeight="1">
      <c r="B2" s="4" t="s">
        <v>505</v>
      </c>
      <c r="C2" s="4" t="s">
        <v>7</v>
      </c>
      <c r="D2" s="4" t="s">
        <v>8</v>
      </c>
      <c r="E2" s="4" t="s">
        <v>173</v>
      </c>
      <c r="F2" s="4" t="s">
        <v>9</v>
      </c>
      <c r="G2" s="4" t="s">
        <v>172</v>
      </c>
      <c r="H2" s="4" t="s">
        <v>10</v>
      </c>
      <c r="I2" s="5" t="s">
        <v>11</v>
      </c>
      <c r="J2" s="4" t="s">
        <v>502</v>
      </c>
      <c r="K2" s="6" t="s">
        <v>178</v>
      </c>
      <c r="L2" s="235" t="s">
        <v>179</v>
      </c>
    </row>
    <row r="3" spans="2:12" ht="25" customHeight="1">
      <c r="B3" s="2" t="s">
        <v>517</v>
      </c>
      <c r="C3" s="2" t="str">
        <f>SKUマスタ!$B$3</f>
        <v>BWSS1_001</v>
      </c>
      <c r="D3" s="2" t="str">
        <f>テーブル1[[#This Row],[STYLE NUMBER]]&amp;"-"&amp;
_xlfn.XLOOKUP(G3, カラーコード!$C$2:$C$50, カラーコード!$D$2:$D$50,"未登録")
&amp;"-"&amp;テーブル1[[#This Row],[SIZE]]</f>
        <v>BWSS1_001-WH-S</v>
      </c>
      <c r="E3" s="2" t="str">
        <f>SKUマスタ!$C$3</f>
        <v>HS Tee</v>
      </c>
      <c r="F3" s="2" t="str">
        <f>SKUマスタ!$D$3</f>
        <v>TOPS</v>
      </c>
      <c r="G3" s="2" t="s">
        <v>13</v>
      </c>
      <c r="H3" s="2" t="s">
        <v>4</v>
      </c>
      <c r="I3" s="78" t="str">
        <f>SKUマスタ!$J$3</f>
        <v>D1</v>
      </c>
      <c r="J3" s="2">
        <v>1</v>
      </c>
      <c r="K3" s="7">
        <f>SKUマスタ!$G$3*110%</f>
        <v>7595.5000000000009</v>
      </c>
      <c r="L3" s="8">
        <f>テーブル1[[#This Row],[RETAIL PRICE(JPY)]]*50%</f>
        <v>3797.7500000000005</v>
      </c>
    </row>
    <row r="4" spans="2:12" ht="25" customHeight="1">
      <c r="B4" s="2" t="s">
        <v>517</v>
      </c>
      <c r="C4" s="2" t="str">
        <f>SKUマスタ!$B$3</f>
        <v>BWSS1_001</v>
      </c>
      <c r="D4" s="2" t="str">
        <f>テーブル1[[#This Row],[STYLE NUMBER]]&amp;"-"&amp;
_xlfn.XLOOKUP(G4, カラーコード!$C$2:$C$50, カラーコード!$D$2:$D$50,"未登録")
&amp;"-"&amp;テーブル1[[#This Row],[SIZE]]</f>
        <v>BWSS1_001-WH-M</v>
      </c>
      <c r="E4" s="2" t="str">
        <f>SKUマスタ!$C$3</f>
        <v>HS Tee</v>
      </c>
      <c r="F4" s="2" t="str">
        <f>SKUマスタ!$D$3</f>
        <v>TOPS</v>
      </c>
      <c r="G4" s="2" t="s">
        <v>13</v>
      </c>
      <c r="H4" s="2" t="s">
        <v>0</v>
      </c>
      <c r="I4" s="78" t="str">
        <f>SKUマスタ!$J$3</f>
        <v>D1</v>
      </c>
      <c r="J4" s="2">
        <v>1</v>
      </c>
      <c r="K4" s="7">
        <f>SKUマスタ!$G$3*110%</f>
        <v>7595.5000000000009</v>
      </c>
      <c r="L4" s="8">
        <f>テーブル1[[#This Row],[RETAIL PRICE(JPY)]]*50%</f>
        <v>3797.7500000000005</v>
      </c>
    </row>
    <row r="5" spans="2:12" ht="25" customHeight="1">
      <c r="B5" s="2" t="s">
        <v>517</v>
      </c>
      <c r="C5" s="2" t="str">
        <f>SKUマスタ!$B$3</f>
        <v>BWSS1_001</v>
      </c>
      <c r="D5" s="2" t="str">
        <f>テーブル1[[#This Row],[STYLE NUMBER]]&amp;"-"&amp;
_xlfn.XLOOKUP(G5, カラーコード!$C$2:$C$50, カラーコード!$D$2:$D$50,"未登録")
&amp;"-"&amp;テーブル1[[#This Row],[SIZE]]</f>
        <v>BWSS1_001-WH-L</v>
      </c>
      <c r="E5" s="2" t="str">
        <f>SKUマスタ!$C$3</f>
        <v>HS Tee</v>
      </c>
      <c r="F5" s="2" t="str">
        <f>SKUマスタ!$D$3</f>
        <v>TOPS</v>
      </c>
      <c r="G5" s="2" t="s">
        <v>13</v>
      </c>
      <c r="H5" s="2" t="s">
        <v>14</v>
      </c>
      <c r="I5" s="78" t="str">
        <f>SKUマスタ!$J$3</f>
        <v>D1</v>
      </c>
      <c r="J5" s="2">
        <v>1</v>
      </c>
      <c r="K5" s="7">
        <f>SKUマスタ!$G$3*110%</f>
        <v>7595.5000000000009</v>
      </c>
      <c r="L5" s="8">
        <f>テーブル1[[#This Row],[RETAIL PRICE(JPY)]]*50%</f>
        <v>3797.7500000000005</v>
      </c>
    </row>
    <row r="6" spans="2:12" ht="25" customHeight="1">
      <c r="B6" s="2" t="s">
        <v>517</v>
      </c>
      <c r="C6" s="2" t="str">
        <f>SKUマスタ!$B$3</f>
        <v>BWSS1_001</v>
      </c>
      <c r="D6" s="2" t="str">
        <f>テーブル1[[#This Row],[STYLE NUMBER]]&amp;"-"&amp;
_xlfn.XLOOKUP(G6, カラーコード!$C$2:$C$50, カラーコード!$D$2:$D$50,"未登録")
&amp;"-"&amp;テーブル1[[#This Row],[SIZE]]</f>
        <v>BWSS1_001-WH-XL</v>
      </c>
      <c r="E6" s="2" t="str">
        <f>SKUマスタ!$C$3</f>
        <v>HS Tee</v>
      </c>
      <c r="F6" s="2" t="str">
        <f>SKUマスタ!$D$3</f>
        <v>TOPS</v>
      </c>
      <c r="G6" s="2" t="s">
        <v>13</v>
      </c>
      <c r="H6" s="2" t="s">
        <v>516</v>
      </c>
      <c r="I6" s="78" t="str">
        <f>SKUマスタ!$J$3</f>
        <v>D1</v>
      </c>
      <c r="J6" s="2">
        <v>1</v>
      </c>
      <c r="K6" s="7">
        <f>SKUマスタ!$G$3*110%</f>
        <v>7595.5000000000009</v>
      </c>
      <c r="L6" s="8">
        <f>テーブル1[[#This Row],[RETAIL PRICE(JPY)]]*50%</f>
        <v>3797.7500000000005</v>
      </c>
    </row>
    <row r="7" spans="2:12" ht="25" customHeight="1">
      <c r="B7" s="2" t="s">
        <v>517</v>
      </c>
      <c r="C7" s="2" t="str">
        <f>SKUマスタ!$B$3</f>
        <v>BWSS1_001</v>
      </c>
      <c r="D7" s="2" t="str">
        <f>テーブル1[[#This Row],[STYLE NUMBER]]&amp;"-"&amp;
_xlfn.XLOOKUP(G7, カラーコード!$C$2:$C$50, カラーコード!$D$2:$D$50,"未登録")
&amp;"-"&amp;テーブル1[[#This Row],[SIZE]]</f>
        <v>BWSS1_001-BK-S</v>
      </c>
      <c r="E7" s="2" t="str">
        <f>SKUマスタ!$C$3</f>
        <v>HS Tee</v>
      </c>
      <c r="F7" s="2" t="str">
        <f>SKUマスタ!$D$3</f>
        <v>TOPS</v>
      </c>
      <c r="G7" s="2" t="s">
        <v>168</v>
      </c>
      <c r="H7" s="2" t="s">
        <v>4</v>
      </c>
      <c r="I7" s="78" t="str">
        <f>SKUマスタ!$J$3</f>
        <v>D1</v>
      </c>
      <c r="J7" s="2">
        <v>1</v>
      </c>
      <c r="K7" s="7">
        <f>SKUマスタ!$G$3*110%</f>
        <v>7595.5000000000009</v>
      </c>
      <c r="L7" s="8">
        <f>テーブル1[[#This Row],[RETAIL PRICE(JPY)]]*50%</f>
        <v>3797.7500000000005</v>
      </c>
    </row>
    <row r="8" spans="2:12" ht="25" customHeight="1">
      <c r="B8" s="2" t="s">
        <v>517</v>
      </c>
      <c r="C8" s="2" t="str">
        <f>SKUマスタ!$B$3</f>
        <v>BWSS1_001</v>
      </c>
      <c r="D8" s="2" t="str">
        <f>テーブル1[[#This Row],[STYLE NUMBER]]&amp;"-"&amp;
_xlfn.XLOOKUP(G8, カラーコード!$C$2:$C$50, カラーコード!$D$2:$D$50,"未登録")
&amp;"-"&amp;テーブル1[[#This Row],[SIZE]]</f>
        <v>BWSS1_001-BK-M</v>
      </c>
      <c r="E8" s="2" t="str">
        <f>SKUマスタ!$C$3</f>
        <v>HS Tee</v>
      </c>
      <c r="F8" s="2" t="str">
        <f>SKUマスタ!$D$3</f>
        <v>TOPS</v>
      </c>
      <c r="G8" s="2" t="s">
        <v>168</v>
      </c>
      <c r="H8" s="2" t="s">
        <v>0</v>
      </c>
      <c r="I8" s="78" t="str">
        <f>SKUマスタ!$J$3</f>
        <v>D1</v>
      </c>
      <c r="J8" s="2">
        <v>1</v>
      </c>
      <c r="K8" s="7">
        <f>SKUマスタ!$G$3*110%</f>
        <v>7595.5000000000009</v>
      </c>
      <c r="L8" s="8">
        <f>テーブル1[[#This Row],[RETAIL PRICE(JPY)]]*50%</f>
        <v>3797.7500000000005</v>
      </c>
    </row>
    <row r="9" spans="2:12" ht="25" customHeight="1">
      <c r="B9" s="2" t="s">
        <v>517</v>
      </c>
      <c r="C9" s="2" t="str">
        <f>SKUマスタ!$B$3</f>
        <v>BWSS1_001</v>
      </c>
      <c r="D9" s="2" t="str">
        <f>テーブル1[[#This Row],[STYLE NUMBER]]&amp;"-"&amp;
_xlfn.XLOOKUP(G9, カラーコード!$C$2:$C$50, カラーコード!$D$2:$D$50,"未登録")
&amp;"-"&amp;テーブル1[[#This Row],[SIZE]]</f>
        <v>BWSS1_001-BK-L</v>
      </c>
      <c r="E9" s="2" t="str">
        <f>SKUマスタ!$C$3</f>
        <v>HS Tee</v>
      </c>
      <c r="F9" s="2" t="str">
        <f>SKUマスタ!$D$3</f>
        <v>TOPS</v>
      </c>
      <c r="G9" s="2" t="s">
        <v>168</v>
      </c>
      <c r="H9" s="2" t="s">
        <v>14</v>
      </c>
      <c r="I9" s="78" t="str">
        <f>SKUマスタ!$J$3</f>
        <v>D1</v>
      </c>
      <c r="J9" s="2">
        <v>1</v>
      </c>
      <c r="K9" s="7">
        <f>SKUマスタ!$G$3*110%</f>
        <v>7595.5000000000009</v>
      </c>
      <c r="L9" s="8">
        <f>テーブル1[[#This Row],[RETAIL PRICE(JPY)]]*50%</f>
        <v>3797.7500000000005</v>
      </c>
    </row>
    <row r="10" spans="2:12" ht="25" customHeight="1">
      <c r="B10" s="2" t="s">
        <v>517</v>
      </c>
      <c r="C10" s="2" t="str">
        <f>SKUマスタ!$B$3</f>
        <v>BWSS1_001</v>
      </c>
      <c r="D10" s="2" t="str">
        <f>テーブル1[[#This Row],[STYLE NUMBER]]&amp;"-"&amp;
_xlfn.XLOOKUP(G10, カラーコード!$C$2:$C$50, カラーコード!$D$2:$D$50,"未登録")
&amp;"-"&amp;テーブル1[[#This Row],[SIZE]]</f>
        <v>BWSS1_001-BK-XL</v>
      </c>
      <c r="E10" s="2" t="str">
        <f>SKUマスタ!$C$3</f>
        <v>HS Tee</v>
      </c>
      <c r="F10" s="2" t="str">
        <f>SKUマスタ!$D$3</f>
        <v>TOPS</v>
      </c>
      <c r="G10" s="2" t="s">
        <v>168</v>
      </c>
      <c r="H10" s="2" t="s">
        <v>516</v>
      </c>
      <c r="I10" s="78" t="str">
        <f>SKUマスタ!$J$3</f>
        <v>D1</v>
      </c>
      <c r="J10" s="2">
        <v>1</v>
      </c>
      <c r="K10" s="7">
        <f>SKUマスタ!$G$3*110%</f>
        <v>7595.5000000000009</v>
      </c>
      <c r="L10" s="8">
        <f>テーブル1[[#This Row],[RETAIL PRICE(JPY)]]*50%</f>
        <v>3797.7500000000005</v>
      </c>
    </row>
    <row r="11" spans="2:12" ht="25" customHeight="1">
      <c r="B11" s="2" t="s">
        <v>517</v>
      </c>
      <c r="C11" s="2" t="str">
        <f>SKUマスタ!$B$3</f>
        <v>BWSS1_001</v>
      </c>
      <c r="D11" s="2" t="str">
        <f>テーブル1[[#This Row],[STYLE NUMBER]]&amp;"-"&amp;
_xlfn.XLOOKUP(G11, カラーコード!$C$2:$C$50, カラーコード!$D$2:$D$50,"未登録")
&amp;"-"&amp;テーブル1[[#This Row],[SIZE]]</f>
        <v>BWSS1_001-WH-S</v>
      </c>
      <c r="E11" s="2" t="str">
        <f>SKUマスタ!$C$3</f>
        <v>HS Tee</v>
      </c>
      <c r="F11" s="2" t="str">
        <f>SKUマスタ!$D$3</f>
        <v>TOPS</v>
      </c>
      <c r="G11" s="2" t="s">
        <v>13</v>
      </c>
      <c r="H11" s="2" t="s">
        <v>4</v>
      </c>
      <c r="I11" s="78" t="str">
        <f>SKUマスタ!$J$3</f>
        <v>D1</v>
      </c>
      <c r="J11" s="2">
        <v>1</v>
      </c>
      <c r="K11" s="7">
        <f>SKUマスタ!$G$3*110%</f>
        <v>7595.5000000000009</v>
      </c>
      <c r="L11" s="8">
        <f>テーブル1[[#This Row],[RETAIL PRICE(JPY)]]*50%</f>
        <v>3797.7500000000005</v>
      </c>
    </row>
    <row r="12" spans="2:12" ht="25" customHeight="1">
      <c r="B12" s="2" t="s">
        <v>517</v>
      </c>
      <c r="C12" s="2" t="str">
        <f>SKUマスタ!$B$3</f>
        <v>BWSS1_001</v>
      </c>
      <c r="D12" s="2" t="str">
        <f>テーブル1[[#This Row],[STYLE NUMBER]]&amp;"-"&amp;
_xlfn.XLOOKUP(G12, カラーコード!$C$2:$C$50, カラーコード!$D$2:$D$50,"未登録")
&amp;"-"&amp;テーブル1[[#This Row],[SIZE]]</f>
        <v>BWSS1_001-WH-M</v>
      </c>
      <c r="E12" s="2" t="str">
        <f>SKUマスタ!$C$3</f>
        <v>HS Tee</v>
      </c>
      <c r="F12" s="2" t="str">
        <f>SKUマスタ!$D$3</f>
        <v>TOPS</v>
      </c>
      <c r="G12" s="2" t="s">
        <v>13</v>
      </c>
      <c r="H12" s="2" t="s">
        <v>0</v>
      </c>
      <c r="I12" s="78" t="str">
        <f>SKUマスタ!$J$3</f>
        <v>D1</v>
      </c>
      <c r="J12" s="2">
        <v>1</v>
      </c>
      <c r="K12" s="7">
        <f>SKUマスタ!$G$3*110%</f>
        <v>7595.5000000000009</v>
      </c>
      <c r="L12" s="8">
        <f>テーブル1[[#This Row],[RETAIL PRICE(JPY)]]*50%</f>
        <v>3797.7500000000005</v>
      </c>
    </row>
    <row r="13" spans="2:12" ht="25" customHeight="1">
      <c r="B13" s="2" t="s">
        <v>517</v>
      </c>
      <c r="C13" s="2" t="str">
        <f>SKUマスタ!$B$3</f>
        <v>BWSS1_001</v>
      </c>
      <c r="D13" s="2" t="str">
        <f>テーブル1[[#This Row],[STYLE NUMBER]]&amp;"-"&amp;
_xlfn.XLOOKUP(G13, カラーコード!$C$2:$C$50, カラーコード!$D$2:$D$50,"未登録")
&amp;"-"&amp;テーブル1[[#This Row],[SIZE]]</f>
        <v>BWSS1_001-WH-L</v>
      </c>
      <c r="E13" s="2" t="str">
        <f>SKUマスタ!$C$3</f>
        <v>HS Tee</v>
      </c>
      <c r="F13" s="2" t="str">
        <f>SKUマスタ!$D$3</f>
        <v>TOPS</v>
      </c>
      <c r="G13" s="2" t="s">
        <v>13</v>
      </c>
      <c r="H13" s="2" t="s">
        <v>14</v>
      </c>
      <c r="I13" s="78" t="str">
        <f>SKUマスタ!$J$3</f>
        <v>D1</v>
      </c>
      <c r="J13" s="2">
        <v>1</v>
      </c>
      <c r="K13" s="7">
        <f>SKUマスタ!$G$3*110%</f>
        <v>7595.5000000000009</v>
      </c>
      <c r="L13" s="8">
        <f>テーブル1[[#This Row],[RETAIL PRICE(JPY)]]*50%</f>
        <v>3797.7500000000005</v>
      </c>
    </row>
    <row r="14" spans="2:12" ht="25" customHeight="1">
      <c r="B14" s="2" t="s">
        <v>517</v>
      </c>
      <c r="C14" s="2" t="str">
        <f>SKUマスタ!$B$3</f>
        <v>BWSS1_001</v>
      </c>
      <c r="D14" s="2" t="str">
        <f>テーブル1[[#This Row],[STYLE NUMBER]]&amp;"-"&amp;
_xlfn.XLOOKUP(G14, カラーコード!$C$2:$C$50, カラーコード!$D$2:$D$50,"未登録")
&amp;"-"&amp;テーブル1[[#This Row],[SIZE]]</f>
        <v>BWSS1_001-WH-XL</v>
      </c>
      <c r="E14" s="2" t="str">
        <f>SKUマスタ!$C$3</f>
        <v>HS Tee</v>
      </c>
      <c r="F14" s="2" t="str">
        <f>SKUマスタ!$D$3</f>
        <v>TOPS</v>
      </c>
      <c r="G14" s="2" t="s">
        <v>13</v>
      </c>
      <c r="H14" s="2" t="s">
        <v>516</v>
      </c>
      <c r="I14" s="78" t="str">
        <f>SKUマスタ!$J$3</f>
        <v>D1</v>
      </c>
      <c r="J14" s="2">
        <v>1</v>
      </c>
      <c r="K14" s="7">
        <f>SKUマスタ!$G$3*110%</f>
        <v>7595.5000000000009</v>
      </c>
      <c r="L14" s="8">
        <f>テーブル1[[#This Row],[RETAIL PRICE(JPY)]]*50%</f>
        <v>3797.7500000000005</v>
      </c>
    </row>
    <row r="15" spans="2:12" ht="25" customHeight="1">
      <c r="B15" s="2" t="s">
        <v>517</v>
      </c>
      <c r="C15" s="2" t="str">
        <f>SKUマスタ!$B$4</f>
        <v>BWSS1_001</v>
      </c>
      <c r="D15" s="2" t="str">
        <f>テーブル1[[#This Row],[STYLE NUMBER]]&amp;"-"&amp;
_xlfn.XLOOKUP(G15, カラーコード!$C$2:$C$50, カラーコード!$D$2:$D$50,"未登録")
&amp;"-"&amp;テーブル1[[#This Row],[SIZE]]</f>
        <v>BWSS1_001-BK-S</v>
      </c>
      <c r="E15" s="2" t="str">
        <f>SKUマスタ!$C$4</f>
        <v>HS Tee</v>
      </c>
      <c r="F15" s="2" t="str">
        <f>SKUマスタ!$D$4</f>
        <v>TOPS</v>
      </c>
      <c r="G15" s="2" t="s">
        <v>168</v>
      </c>
      <c r="H15" s="2" t="s">
        <v>4</v>
      </c>
      <c r="I15" s="78" t="str">
        <f>SKUマスタ!$J$4</f>
        <v>D1</v>
      </c>
      <c r="J15" s="2">
        <v>1</v>
      </c>
      <c r="K15" s="7">
        <f>SKUマスタ!$G$4*110%</f>
        <v>7674.7000000000007</v>
      </c>
      <c r="L15" s="8">
        <f>テーブル1[[#This Row],[RETAIL PRICE(JPY)]]*50%</f>
        <v>3837.3500000000004</v>
      </c>
    </row>
    <row r="16" spans="2:12" ht="25" customHeight="1">
      <c r="B16" s="2" t="s">
        <v>517</v>
      </c>
      <c r="C16" s="2" t="str">
        <f>SKUマスタ!$B$4</f>
        <v>BWSS1_001</v>
      </c>
      <c r="D16" s="2" t="str">
        <f>テーブル1[[#This Row],[STYLE NUMBER]]&amp;"-"&amp;
_xlfn.XLOOKUP(G16, カラーコード!$C$2:$C$50, カラーコード!$D$2:$D$50,"未登録")
&amp;"-"&amp;テーブル1[[#This Row],[SIZE]]</f>
        <v>BWSS1_001-BK-M</v>
      </c>
      <c r="E16" s="2" t="str">
        <f>SKUマスタ!$C$4</f>
        <v>HS Tee</v>
      </c>
      <c r="F16" s="2" t="str">
        <f>SKUマスタ!$D$4</f>
        <v>TOPS</v>
      </c>
      <c r="G16" s="2" t="s">
        <v>168</v>
      </c>
      <c r="H16" s="2" t="s">
        <v>0</v>
      </c>
      <c r="I16" s="78" t="str">
        <f>SKUマスタ!$J$4</f>
        <v>D1</v>
      </c>
      <c r="J16" s="2">
        <v>1</v>
      </c>
      <c r="K16" s="7">
        <f>SKUマスタ!$G$4*110%</f>
        <v>7674.7000000000007</v>
      </c>
      <c r="L16" s="8">
        <f>テーブル1[[#This Row],[RETAIL PRICE(JPY)]]*50%</f>
        <v>3837.3500000000004</v>
      </c>
    </row>
    <row r="17" spans="2:12" ht="25" customHeight="1">
      <c r="B17" s="2" t="s">
        <v>517</v>
      </c>
      <c r="C17" s="2" t="str">
        <f>SKUマスタ!$B$4</f>
        <v>BWSS1_001</v>
      </c>
      <c r="D17" s="2" t="str">
        <f>テーブル1[[#This Row],[STYLE NUMBER]]&amp;"-"&amp;
_xlfn.XLOOKUP(G17, カラーコード!$C$2:$C$50, カラーコード!$D$2:$D$50,"未登録")
&amp;"-"&amp;テーブル1[[#This Row],[SIZE]]</f>
        <v>BWSS1_001-BK-L</v>
      </c>
      <c r="E17" s="2" t="str">
        <f>SKUマスタ!$C$4</f>
        <v>HS Tee</v>
      </c>
      <c r="F17" s="2" t="str">
        <f>SKUマスタ!$D$4</f>
        <v>TOPS</v>
      </c>
      <c r="G17" s="2" t="s">
        <v>168</v>
      </c>
      <c r="H17" s="2" t="s">
        <v>14</v>
      </c>
      <c r="I17" s="78" t="str">
        <f>SKUマスタ!$J$4</f>
        <v>D1</v>
      </c>
      <c r="J17" s="2">
        <v>1</v>
      </c>
      <c r="K17" s="7">
        <f>SKUマスタ!$G$4*110%</f>
        <v>7674.7000000000007</v>
      </c>
      <c r="L17" s="8">
        <f>テーブル1[[#This Row],[RETAIL PRICE(JPY)]]*50%</f>
        <v>3837.3500000000004</v>
      </c>
    </row>
    <row r="18" spans="2:12" ht="25" customHeight="1">
      <c r="B18" s="2" t="s">
        <v>517</v>
      </c>
      <c r="C18" s="2" t="str">
        <f>SKUマスタ!$B$4</f>
        <v>BWSS1_001</v>
      </c>
      <c r="D18" s="2" t="str">
        <f>テーブル1[[#This Row],[STYLE NUMBER]]&amp;"-"&amp;
_xlfn.XLOOKUP(G18, カラーコード!$C$2:$C$50, カラーコード!$D$2:$D$50,"未登録")
&amp;"-"&amp;テーブル1[[#This Row],[SIZE]]</f>
        <v>BWSS1_001-BK-XL</v>
      </c>
      <c r="E18" s="2" t="str">
        <f>SKUマスタ!$C$4</f>
        <v>HS Tee</v>
      </c>
      <c r="F18" s="2" t="str">
        <f>SKUマスタ!$D$4</f>
        <v>TOPS</v>
      </c>
      <c r="G18" s="2" t="s">
        <v>168</v>
      </c>
      <c r="H18" s="2" t="s">
        <v>516</v>
      </c>
      <c r="I18" s="78" t="str">
        <f>SKUマスタ!$J$4</f>
        <v>D1</v>
      </c>
      <c r="J18" s="2">
        <v>1</v>
      </c>
      <c r="K18" s="7">
        <f>SKUマスタ!$G$4*110%</f>
        <v>7674.7000000000007</v>
      </c>
      <c r="L18" s="8">
        <f>テーブル1[[#This Row],[RETAIL PRICE(JPY)]]*50%</f>
        <v>3837.3500000000004</v>
      </c>
    </row>
    <row r="19" spans="2:12" ht="25" customHeight="1">
      <c r="B19" s="2" t="s">
        <v>517</v>
      </c>
      <c r="C19" s="2" t="str">
        <f>SKUマスタ!$B$5</f>
        <v>BWSS1_002</v>
      </c>
      <c r="D19" s="2" t="str">
        <f>テーブル1[[#This Row],[STYLE NUMBER]]&amp;"-"&amp;
_xlfn.XLOOKUP(G19, カラーコード!$C$2:$C$50, カラーコード!$D$2:$D$50,"未登録")
&amp;"-"&amp;テーブル1[[#This Row],[SIZE]]</f>
        <v>BWSS1_002-BK-F</v>
      </c>
      <c r="E19" s="2" t="str">
        <f>SKUマスタ!$C$5</f>
        <v>HS Tee</v>
      </c>
      <c r="F19" s="2" t="str">
        <f>SKUマスタ!$D$5</f>
        <v>TOPS</v>
      </c>
      <c r="G19" s="2" t="s">
        <v>168</v>
      </c>
      <c r="H19" s="2" t="s">
        <v>501</v>
      </c>
      <c r="I19" s="78" t="str">
        <f>SKUマスタ!$J$5</f>
        <v>D1</v>
      </c>
      <c r="J19" s="2">
        <v>1</v>
      </c>
      <c r="K19" s="7">
        <f>SKUマスタ!$G$5*110%</f>
        <v>7595.5000000000009</v>
      </c>
      <c r="L19" s="8">
        <f>テーブル1[[#This Row],[RETAIL PRICE(JPY)]]*50%</f>
        <v>3797.7500000000005</v>
      </c>
    </row>
    <row r="20" spans="2:12" ht="25" customHeight="1">
      <c r="B20" s="2" t="s">
        <v>517</v>
      </c>
      <c r="C20" s="2" t="str">
        <f>SKUマスタ!$B$5</f>
        <v>BWSS1_002</v>
      </c>
      <c r="D20" s="2" t="str">
        <f>テーブル1[[#This Row],[STYLE NUMBER]]&amp;"-"&amp;
_xlfn.XLOOKUP(G20, カラーコード!$C$2:$C$50, カラーコード!$D$2:$D$50,"未登録")
&amp;"-"&amp;テーブル1[[#This Row],[SIZE]]</f>
        <v>BWSS1_002-BK-F</v>
      </c>
      <c r="E20" s="2" t="str">
        <f>SKUマスタ!$C$5</f>
        <v>HS Tee</v>
      </c>
      <c r="F20" s="2" t="str">
        <f>SKUマスタ!$D$5</f>
        <v>TOPS</v>
      </c>
      <c r="G20" s="2" t="s">
        <v>168</v>
      </c>
      <c r="H20" s="2" t="s">
        <v>501</v>
      </c>
      <c r="I20" s="78" t="str">
        <f>SKUマスタ!$J$5</f>
        <v>D1</v>
      </c>
      <c r="J20" s="2">
        <v>1</v>
      </c>
      <c r="K20" s="7">
        <f>SKUマスタ!$G$5*110%</f>
        <v>7595.5000000000009</v>
      </c>
      <c r="L20" s="8">
        <f>テーブル1[[#This Row],[RETAIL PRICE(JPY)]]*50%</f>
        <v>3797.7500000000005</v>
      </c>
    </row>
    <row r="21" spans="2:12" ht="25" customHeight="1">
      <c r="B21" s="2" t="s">
        <v>517</v>
      </c>
      <c r="C21" s="2" t="str">
        <f>SKUマスタ!$B$5</f>
        <v>BWSS1_002</v>
      </c>
      <c r="D21" s="2" t="str">
        <f>テーブル1[[#This Row],[STYLE NUMBER]]&amp;"-"&amp;
_xlfn.XLOOKUP(G21, カラーコード!$C$2:$C$50, カラーコード!$D$2:$D$50,"未登録")
&amp;"-"&amp;テーブル1[[#This Row],[SIZE]]</f>
        <v>BWSS1_002-BK-F</v>
      </c>
      <c r="E21" s="2" t="str">
        <f>SKUマスタ!$C$5</f>
        <v>HS Tee</v>
      </c>
      <c r="F21" s="2" t="str">
        <f>SKUマスタ!$D$5</f>
        <v>TOPS</v>
      </c>
      <c r="G21" s="2" t="s">
        <v>168</v>
      </c>
      <c r="H21" s="2" t="s">
        <v>501</v>
      </c>
      <c r="I21" s="78" t="str">
        <f>SKUマスタ!$J$5</f>
        <v>D1</v>
      </c>
      <c r="J21" s="2">
        <v>1</v>
      </c>
      <c r="K21" s="7">
        <f>SKUマスタ!$G$5*110%</f>
        <v>7595.5000000000009</v>
      </c>
      <c r="L21" s="8">
        <f>テーブル1[[#This Row],[RETAIL PRICE(JPY)]]*50%</f>
        <v>3797.7500000000005</v>
      </c>
    </row>
    <row r="22" spans="2:12" ht="25" customHeight="1">
      <c r="B22" s="2" t="s">
        <v>517</v>
      </c>
      <c r="C22" s="2" t="str">
        <f>SKUマスタ!$B$5</f>
        <v>BWSS1_002</v>
      </c>
      <c r="D22" s="2" t="str">
        <f>テーブル1[[#This Row],[STYLE NUMBER]]&amp;"-"&amp;
_xlfn.XLOOKUP(G22, カラーコード!$C$2:$C$50, カラーコード!$D$2:$D$50,"未登録")
&amp;"-"&amp;テーブル1[[#This Row],[SIZE]]</f>
        <v>BWSS1_002-BK-F</v>
      </c>
      <c r="E22" s="2" t="str">
        <f>SKUマスタ!$C$5</f>
        <v>HS Tee</v>
      </c>
      <c r="F22" s="2" t="str">
        <f>SKUマスタ!$D$5</f>
        <v>TOPS</v>
      </c>
      <c r="G22" s="2" t="s">
        <v>168</v>
      </c>
      <c r="H22" s="2" t="s">
        <v>501</v>
      </c>
      <c r="I22" s="78" t="str">
        <f>SKUマスタ!$J$5</f>
        <v>D1</v>
      </c>
      <c r="J22" s="2">
        <v>1</v>
      </c>
      <c r="K22" s="7">
        <f>SKUマスタ!$G$5*110%</f>
        <v>7595.5000000000009</v>
      </c>
      <c r="L22" s="8">
        <f>テーブル1[[#This Row],[RETAIL PRICE(JPY)]]*50%</f>
        <v>3797.7500000000005</v>
      </c>
    </row>
    <row r="23" spans="2:12" ht="25" customHeight="1">
      <c r="B23" s="2"/>
      <c r="C23" s="2" t="str">
        <f>SKUマスタ!$B$6</f>
        <v>BWSS1_002</v>
      </c>
      <c r="D23" s="2" t="str">
        <f>テーブル1[[#This Row],[STYLE NUMBER]]&amp;"-"&amp;
_xlfn.XLOOKUP(G23, カラーコード!$C$2:$C$50, カラーコード!$D$2:$D$50,"未登録")
&amp;"-"&amp;テーブル1[[#This Row],[SIZE]]</f>
        <v>BWSS1_002-BK-S</v>
      </c>
      <c r="E23" s="2" t="str">
        <f>SKUマスタ!$C$6</f>
        <v>HS Tee</v>
      </c>
      <c r="F23" s="2" t="str">
        <f>SKUマスタ!$D$6</f>
        <v>TOPS</v>
      </c>
      <c r="G23" s="2" t="s">
        <v>168</v>
      </c>
      <c r="H23" s="2" t="s">
        <v>4</v>
      </c>
      <c r="I23" s="78" t="str">
        <f>SKUマスタ!$J$6</f>
        <v>D1</v>
      </c>
      <c r="J23" s="2">
        <v>1</v>
      </c>
      <c r="K23" s="7">
        <f>SKUマスタ!$G$6*110%</f>
        <v>7674.7000000000007</v>
      </c>
      <c r="L23" s="8">
        <f>テーブル1[[#This Row],[RETAIL PRICE(JPY)]]*50%</f>
        <v>3837.3500000000004</v>
      </c>
    </row>
    <row r="24" spans="2:12" ht="25" customHeight="1">
      <c r="B24" s="2"/>
      <c r="C24" s="2" t="str">
        <f>SKUマスタ!$B$6</f>
        <v>BWSS1_002</v>
      </c>
      <c r="D24" s="2" t="str">
        <f>テーブル1[[#This Row],[STYLE NUMBER]]&amp;"-"&amp;
_xlfn.XLOOKUP(G24, カラーコード!$C$2:$C$50, カラーコード!$D$2:$D$50,"未登録")
&amp;"-"&amp;テーブル1[[#This Row],[SIZE]]</f>
        <v>BWSS1_002-BK-M</v>
      </c>
      <c r="E24" s="2" t="str">
        <f>SKUマスタ!$C$6</f>
        <v>HS Tee</v>
      </c>
      <c r="F24" s="2" t="str">
        <f>SKUマスタ!$D$6</f>
        <v>TOPS</v>
      </c>
      <c r="G24" s="2" t="s">
        <v>168</v>
      </c>
      <c r="H24" s="2" t="s">
        <v>0</v>
      </c>
      <c r="I24" s="78" t="str">
        <f>SKUマスタ!$J$6</f>
        <v>D1</v>
      </c>
      <c r="J24" s="2">
        <v>1</v>
      </c>
      <c r="K24" s="7">
        <f>SKUマスタ!$G$6*110%</f>
        <v>7674.7000000000007</v>
      </c>
      <c r="L24" s="8">
        <f>テーブル1[[#This Row],[RETAIL PRICE(JPY)]]*50%</f>
        <v>3837.3500000000004</v>
      </c>
    </row>
    <row r="25" spans="2:12" ht="25" customHeight="1">
      <c r="B25" s="2"/>
      <c r="C25" s="2" t="str">
        <f>SKUマスタ!$B$6</f>
        <v>BWSS1_002</v>
      </c>
      <c r="D25" s="2" t="str">
        <f>テーブル1[[#This Row],[STYLE NUMBER]]&amp;"-"&amp;
_xlfn.XLOOKUP(G25, カラーコード!$C$2:$C$50, カラーコード!$D$2:$D$50,"未登録")
&amp;"-"&amp;テーブル1[[#This Row],[SIZE]]</f>
        <v>BWSS1_002-BK-L</v>
      </c>
      <c r="E25" s="2" t="str">
        <f>SKUマスタ!$C$6</f>
        <v>HS Tee</v>
      </c>
      <c r="F25" s="2" t="str">
        <f>SKUマスタ!$D$6</f>
        <v>TOPS</v>
      </c>
      <c r="G25" s="2" t="s">
        <v>168</v>
      </c>
      <c r="H25" s="2" t="s">
        <v>14</v>
      </c>
      <c r="I25" s="78" t="str">
        <f>SKUマスタ!$J$6</f>
        <v>D1</v>
      </c>
      <c r="J25" s="2">
        <v>1</v>
      </c>
      <c r="K25" s="7">
        <f>SKUマスタ!$G$6*110%</f>
        <v>7674.7000000000007</v>
      </c>
      <c r="L25" s="8">
        <f>テーブル1[[#This Row],[RETAIL PRICE(JPY)]]*50%</f>
        <v>3837.3500000000004</v>
      </c>
    </row>
    <row r="26" spans="2:12" ht="25" customHeight="1">
      <c r="B26" s="2"/>
      <c r="C26" s="2" t="str">
        <f>SKUマスタ!$B$6</f>
        <v>BWSS1_002</v>
      </c>
      <c r="D26" s="2" t="str">
        <f>テーブル1[[#This Row],[STYLE NUMBER]]&amp;"-"&amp;
_xlfn.XLOOKUP(G26, カラーコード!$C$2:$C$50, カラーコード!$D$2:$D$50,"未登録")
&amp;"-"&amp;テーブル1[[#This Row],[SIZE]]</f>
        <v>BWSS1_002-YG-S</v>
      </c>
      <c r="E26" s="2" t="str">
        <f>SKUマスタ!$C$6</f>
        <v>HS Tee</v>
      </c>
      <c r="F26" s="2" t="str">
        <f>SKUマスタ!$D$6</f>
        <v>TOPS</v>
      </c>
      <c r="G26" s="2" t="s">
        <v>503</v>
      </c>
      <c r="H26" s="2" t="s">
        <v>4</v>
      </c>
      <c r="I26" s="78" t="str">
        <f>SKUマスタ!$J$6</f>
        <v>D1</v>
      </c>
      <c r="J26" s="2">
        <v>1</v>
      </c>
      <c r="K26" s="7">
        <f>SKUマスタ!$G$6*110%</f>
        <v>7674.7000000000007</v>
      </c>
      <c r="L26" s="8">
        <f>テーブル1[[#This Row],[RETAIL PRICE(JPY)]]*50%</f>
        <v>3837.3500000000004</v>
      </c>
    </row>
    <row r="27" spans="2:12" ht="25" customHeight="1">
      <c r="B27" s="2"/>
      <c r="C27" s="2" t="str">
        <f>SKUマスタ!$B$6</f>
        <v>BWSS1_002</v>
      </c>
      <c r="D27" s="2" t="str">
        <f>テーブル1[[#This Row],[STYLE NUMBER]]&amp;"-"&amp;
_xlfn.XLOOKUP(G27, カラーコード!$C$2:$C$50, カラーコード!$D$2:$D$50,"未登録")
&amp;"-"&amp;テーブル1[[#This Row],[SIZE]]</f>
        <v>BWSS1_002-YG-M</v>
      </c>
      <c r="E27" s="2" t="str">
        <f>SKUマスタ!$C$6</f>
        <v>HS Tee</v>
      </c>
      <c r="F27" s="2" t="str">
        <f>SKUマスタ!$D$6</f>
        <v>TOPS</v>
      </c>
      <c r="G27" s="2" t="s">
        <v>503</v>
      </c>
      <c r="H27" s="2" t="s">
        <v>0</v>
      </c>
      <c r="I27" s="78" t="str">
        <f>SKUマスタ!$J$6</f>
        <v>D1</v>
      </c>
      <c r="J27" s="2">
        <v>1</v>
      </c>
      <c r="K27" s="7">
        <f>SKUマスタ!$G$6*110%</f>
        <v>7674.7000000000007</v>
      </c>
      <c r="L27" s="8">
        <f>テーブル1[[#This Row],[RETAIL PRICE(JPY)]]*50%</f>
        <v>3837.3500000000004</v>
      </c>
    </row>
    <row r="28" spans="2:12" ht="25" customHeight="1">
      <c r="B28" s="2"/>
      <c r="C28" s="2" t="str">
        <f>SKUマスタ!$B$6</f>
        <v>BWSS1_002</v>
      </c>
      <c r="D28" s="2" t="str">
        <f>テーブル1[[#This Row],[STYLE NUMBER]]&amp;"-"&amp;
_xlfn.XLOOKUP(G28, カラーコード!$C$2:$C$50, カラーコード!$D$2:$D$50,"未登録")
&amp;"-"&amp;テーブル1[[#This Row],[SIZE]]</f>
        <v>BWSS1_002-YG-L</v>
      </c>
      <c r="E28" s="2" t="str">
        <f>SKUマスタ!$C$6</f>
        <v>HS Tee</v>
      </c>
      <c r="F28" s="2" t="str">
        <f>SKUマスタ!$D$6</f>
        <v>TOPS</v>
      </c>
      <c r="G28" s="2" t="s">
        <v>503</v>
      </c>
      <c r="H28" s="2" t="s">
        <v>14</v>
      </c>
      <c r="I28" s="78" t="str">
        <f>SKUマスタ!$J$6</f>
        <v>D1</v>
      </c>
      <c r="J28" s="2">
        <v>1</v>
      </c>
      <c r="K28" s="7">
        <f>SKUマスタ!$G$6*110%</f>
        <v>7674.7000000000007</v>
      </c>
      <c r="L28" s="8">
        <f>テーブル1[[#This Row],[RETAIL PRICE(JPY)]]*50%</f>
        <v>3837.3500000000004</v>
      </c>
    </row>
    <row r="29" spans="2:12" ht="25" customHeight="1">
      <c r="B29" s="2"/>
      <c r="C29" s="2" t="str">
        <f>SKUマスタ!$B$7</f>
        <v>BWFW1_003</v>
      </c>
      <c r="D29" s="2" t="str">
        <f>テーブル1[[#This Row],[STYLE NUMBER]]&amp;"-"&amp;
_xlfn.XLOOKUP(G29, カラーコード!$C$2:$C$50, カラーコード!$D$2:$D$50,"未登録")
&amp;"-"&amp;テーブル1[[#This Row],[SIZE]]</f>
        <v>BWFW1_003-BK-S</v>
      </c>
      <c r="E29" s="2" t="str">
        <f>SKUマスタ!$C$7</f>
        <v>P/O Parka</v>
      </c>
      <c r="F29" s="2" t="str">
        <f>SKUマスタ!$D$7</f>
        <v>TOPS</v>
      </c>
      <c r="G29" s="2" t="s">
        <v>168</v>
      </c>
      <c r="H29" s="2" t="s">
        <v>4</v>
      </c>
      <c r="I29" s="78" t="str">
        <f>SKUマスタ!$J$7</f>
        <v>D1</v>
      </c>
      <c r="J29" s="2">
        <v>1</v>
      </c>
      <c r="K29" s="7">
        <f>SKUマスタ!$G$7*110%</f>
        <v>10738.2</v>
      </c>
      <c r="L29" s="8">
        <f>テーブル1[[#This Row],[RETAIL PRICE(JPY)]]*50%</f>
        <v>5369.1</v>
      </c>
    </row>
    <row r="30" spans="2:12" ht="25" customHeight="1">
      <c r="B30" s="2"/>
      <c r="C30" s="2" t="str">
        <f>SKUマスタ!$B$7</f>
        <v>BWFW1_003</v>
      </c>
      <c r="D30" s="2" t="str">
        <f>テーブル1[[#This Row],[STYLE NUMBER]]&amp;"-"&amp;
_xlfn.XLOOKUP(G30, カラーコード!$C$2:$C$50, カラーコード!$D$2:$D$50,"未登録")
&amp;"-"&amp;テーブル1[[#This Row],[SIZE]]</f>
        <v>BWFW1_003-BK-M</v>
      </c>
      <c r="E30" s="2" t="str">
        <f>SKUマスタ!$C$7</f>
        <v>P/O Parka</v>
      </c>
      <c r="F30" s="2" t="str">
        <f>SKUマスタ!$D$7</f>
        <v>TOPS</v>
      </c>
      <c r="G30" s="2" t="s">
        <v>168</v>
      </c>
      <c r="H30" s="2" t="s">
        <v>0</v>
      </c>
      <c r="I30" s="78" t="str">
        <f>SKUマスタ!$J$7</f>
        <v>D1</v>
      </c>
      <c r="J30" s="2">
        <v>1</v>
      </c>
      <c r="K30" s="7">
        <f>SKUマスタ!$G$7*110%</f>
        <v>10738.2</v>
      </c>
      <c r="L30" s="8">
        <f>テーブル1[[#This Row],[RETAIL PRICE(JPY)]]*50%</f>
        <v>5369.1</v>
      </c>
    </row>
    <row r="31" spans="2:12" ht="25" customHeight="1">
      <c r="B31" s="2"/>
      <c r="C31" s="2" t="str">
        <f>SKUマスタ!$B$7</f>
        <v>BWFW1_003</v>
      </c>
      <c r="D31" s="2" t="str">
        <f>テーブル1[[#This Row],[STYLE NUMBER]]&amp;"-"&amp;
_xlfn.XLOOKUP(G31, カラーコード!$C$2:$C$50, カラーコード!$D$2:$D$50,"未登録")
&amp;"-"&amp;テーブル1[[#This Row],[SIZE]]</f>
        <v>BWFW1_003-BK-L</v>
      </c>
      <c r="E31" s="2" t="str">
        <f>SKUマスタ!$C$7</f>
        <v>P/O Parka</v>
      </c>
      <c r="F31" s="2" t="str">
        <f>SKUマスタ!$D$7</f>
        <v>TOPS</v>
      </c>
      <c r="G31" s="2" t="s">
        <v>168</v>
      </c>
      <c r="H31" s="2" t="s">
        <v>14</v>
      </c>
      <c r="I31" s="78" t="str">
        <f>SKUマスタ!$J$7</f>
        <v>D1</v>
      </c>
      <c r="J31" s="2">
        <v>1</v>
      </c>
      <c r="K31" s="7">
        <f>SKUマスタ!$G$7*110%</f>
        <v>10738.2</v>
      </c>
      <c r="L31" s="8">
        <f>テーブル1[[#This Row],[RETAIL PRICE(JPY)]]*50%</f>
        <v>5369.1</v>
      </c>
    </row>
    <row r="32" spans="2:12" ht="25" customHeight="1">
      <c r="B32" s="2"/>
      <c r="C32" s="2" t="str">
        <f>SKUマスタ!$B$7</f>
        <v>BWFW1_003</v>
      </c>
      <c r="D32" s="2" t="str">
        <f>テーブル1[[#This Row],[STYLE NUMBER]]&amp;"-"&amp;
_xlfn.XLOOKUP(G32, カラーコード!$C$2:$C$50, カラーコード!$D$2:$D$50,"未登録")
&amp;"-"&amp;テーブル1[[#This Row],[SIZE]]</f>
        <v>BWFW1_003-YG-S</v>
      </c>
      <c r="E32" s="2" t="str">
        <f>SKUマスタ!$C$7</f>
        <v>P/O Parka</v>
      </c>
      <c r="F32" s="2" t="str">
        <f>SKUマスタ!$D$7</f>
        <v>TOPS</v>
      </c>
      <c r="G32" s="2" t="s">
        <v>503</v>
      </c>
      <c r="H32" s="2" t="s">
        <v>4</v>
      </c>
      <c r="I32" s="78" t="str">
        <f>SKUマスタ!$J$7</f>
        <v>D1</v>
      </c>
      <c r="J32" s="2">
        <v>1</v>
      </c>
      <c r="K32" s="7">
        <f>SKUマスタ!$G$7*110%</f>
        <v>10738.2</v>
      </c>
      <c r="L32" s="8">
        <f>テーブル1[[#This Row],[RETAIL PRICE(JPY)]]*50%</f>
        <v>5369.1</v>
      </c>
    </row>
    <row r="33" spans="2:12" ht="25" customHeight="1">
      <c r="B33" s="2"/>
      <c r="C33" s="2" t="str">
        <f>SKUマスタ!$B$7</f>
        <v>BWFW1_003</v>
      </c>
      <c r="D33" s="2" t="str">
        <f>テーブル1[[#This Row],[STYLE NUMBER]]&amp;"-"&amp;
_xlfn.XLOOKUP(G33, カラーコード!$C$2:$C$50, カラーコード!$D$2:$D$50,"未登録")
&amp;"-"&amp;テーブル1[[#This Row],[SIZE]]</f>
        <v>BWFW1_003-YG-M</v>
      </c>
      <c r="E33" s="2" t="str">
        <f>SKUマスタ!$C$7</f>
        <v>P/O Parka</v>
      </c>
      <c r="F33" s="2" t="str">
        <f>SKUマスタ!$D$7</f>
        <v>TOPS</v>
      </c>
      <c r="G33" s="2" t="s">
        <v>503</v>
      </c>
      <c r="H33" s="2" t="s">
        <v>0</v>
      </c>
      <c r="I33" s="78" t="str">
        <f>SKUマスタ!$J$7</f>
        <v>D1</v>
      </c>
      <c r="J33" s="2">
        <v>1</v>
      </c>
      <c r="K33" s="7">
        <f>SKUマスタ!$G$7*110%</f>
        <v>10738.2</v>
      </c>
      <c r="L33" s="8">
        <f>テーブル1[[#This Row],[RETAIL PRICE(JPY)]]*50%</f>
        <v>5369.1</v>
      </c>
    </row>
    <row r="34" spans="2:12" ht="25" customHeight="1">
      <c r="B34" s="2"/>
      <c r="C34" s="2" t="str">
        <f>SKUマスタ!$B$7</f>
        <v>BWFW1_003</v>
      </c>
      <c r="D34" s="2" t="str">
        <f>テーブル1[[#This Row],[STYLE NUMBER]]&amp;"-"&amp;
_xlfn.XLOOKUP(G34, カラーコード!$C$2:$C$50, カラーコード!$D$2:$D$50,"未登録")
&amp;"-"&amp;テーブル1[[#This Row],[SIZE]]</f>
        <v>BWFW1_003-YG-L</v>
      </c>
      <c r="E34" s="2" t="str">
        <f>SKUマスタ!$C$7</f>
        <v>P/O Parka</v>
      </c>
      <c r="F34" s="2" t="str">
        <f>SKUマスタ!$D$7</f>
        <v>TOPS</v>
      </c>
      <c r="G34" s="2" t="s">
        <v>503</v>
      </c>
      <c r="H34" s="2" t="s">
        <v>14</v>
      </c>
      <c r="I34" s="78" t="str">
        <f>SKUマスタ!$J$7</f>
        <v>D1</v>
      </c>
      <c r="J34" s="2">
        <v>1</v>
      </c>
      <c r="K34" s="7">
        <f>SKUマスタ!$G$7*110%</f>
        <v>10738.2</v>
      </c>
      <c r="L34" s="8">
        <f>テーブル1[[#This Row],[RETAIL PRICE(JPY)]]*50%</f>
        <v>5369.1</v>
      </c>
    </row>
    <row r="35" spans="2:12" ht="25" customHeight="1">
      <c r="B35" s="2"/>
      <c r="C35" s="2" t="e">
        <f>SKUマスタ!#REF!</f>
        <v>#REF!</v>
      </c>
      <c r="D35" s="2" t="e">
        <f>テーブル1[[#This Row],[STYLE NUMBER]]&amp;"-"&amp;
_xlfn.XLOOKUP(G35, カラーコード!$C$2:$C$50, カラーコード!$D$2:$D$50,"未登録")
&amp;"-"&amp;テーブル1[[#This Row],[SIZE]]</f>
        <v>#REF!</v>
      </c>
      <c r="E35" s="2" t="e">
        <f>SKUマスタ!#REF!</f>
        <v>#REF!</v>
      </c>
      <c r="F35" s="2" t="e">
        <f>SKUマスタ!#REF!</f>
        <v>#REF!</v>
      </c>
      <c r="G35" s="2" t="s">
        <v>168</v>
      </c>
      <c r="H35" s="2" t="s">
        <v>4</v>
      </c>
      <c r="I35" s="78" t="e">
        <f>SKUマスタ!#REF!</f>
        <v>#REF!</v>
      </c>
      <c r="J35" s="2">
        <v>1</v>
      </c>
      <c r="K35" s="7" t="e">
        <f>SKUマスタ!#REF!*110%</f>
        <v>#REF!</v>
      </c>
      <c r="L35" s="8" t="e">
        <f>テーブル1[[#This Row],[RETAIL PRICE(JPY)]]*50%</f>
        <v>#REF!</v>
      </c>
    </row>
    <row r="36" spans="2:12" ht="25" customHeight="1">
      <c r="B36" s="2"/>
      <c r="C36" s="2" t="e">
        <f>SKUマスタ!#REF!</f>
        <v>#REF!</v>
      </c>
      <c r="D36" s="2" t="e">
        <f>テーブル1[[#This Row],[STYLE NUMBER]]&amp;"-"&amp;
_xlfn.XLOOKUP(G36, カラーコード!$C$2:$C$50, カラーコード!$D$2:$D$50,"未登録")
&amp;"-"&amp;テーブル1[[#This Row],[SIZE]]</f>
        <v>#REF!</v>
      </c>
      <c r="E36" s="2" t="e">
        <f>SKUマスタ!#REF!</f>
        <v>#REF!</v>
      </c>
      <c r="F36" s="2" t="e">
        <f>SKUマスタ!#REF!</f>
        <v>#REF!</v>
      </c>
      <c r="G36" s="2" t="s">
        <v>168</v>
      </c>
      <c r="H36" s="2" t="s">
        <v>0</v>
      </c>
      <c r="I36" s="78" t="e">
        <f>SKUマスタ!#REF!</f>
        <v>#REF!</v>
      </c>
      <c r="J36" s="2">
        <v>1</v>
      </c>
      <c r="K36" s="7" t="e">
        <f>SKUマスタ!#REF!*110%</f>
        <v>#REF!</v>
      </c>
      <c r="L36" s="8" t="e">
        <f>テーブル1[[#This Row],[RETAIL PRICE(JPY)]]*50%</f>
        <v>#REF!</v>
      </c>
    </row>
    <row r="37" spans="2:12" ht="25" customHeight="1">
      <c r="B37" s="2"/>
      <c r="C37" s="2" t="e">
        <f>SKUマスタ!#REF!</f>
        <v>#REF!</v>
      </c>
      <c r="D37" s="2" t="e">
        <f>テーブル1[[#This Row],[STYLE NUMBER]]&amp;"-"&amp;
_xlfn.XLOOKUP(G37, カラーコード!$C$2:$C$50, カラーコード!$D$2:$D$50,"未登録")
&amp;"-"&amp;テーブル1[[#This Row],[SIZE]]</f>
        <v>#REF!</v>
      </c>
      <c r="E37" s="2" t="e">
        <f>SKUマスタ!#REF!</f>
        <v>#REF!</v>
      </c>
      <c r="F37" s="2" t="e">
        <f>SKUマスタ!#REF!</f>
        <v>#REF!</v>
      </c>
      <c r="G37" s="2" t="s">
        <v>168</v>
      </c>
      <c r="H37" s="2" t="s">
        <v>14</v>
      </c>
      <c r="I37" s="78" t="e">
        <f>SKUマスタ!#REF!</f>
        <v>#REF!</v>
      </c>
      <c r="J37" s="2">
        <v>1</v>
      </c>
      <c r="K37" s="7" t="e">
        <f>SKUマスタ!#REF!*110%</f>
        <v>#REF!</v>
      </c>
      <c r="L37" s="8" t="e">
        <f>テーブル1[[#This Row],[RETAIL PRICE(JPY)]]*50%</f>
        <v>#REF!</v>
      </c>
    </row>
    <row r="38" spans="2:12" ht="25" customHeight="1">
      <c r="B38" s="2"/>
      <c r="C38" s="2" t="e">
        <f>SKUマスタ!#REF!</f>
        <v>#REF!</v>
      </c>
      <c r="D38" s="2" t="e">
        <f>テーブル1[[#This Row],[STYLE NUMBER]]&amp;"-"&amp;
_xlfn.XLOOKUP(G38, カラーコード!$C$2:$C$50, カラーコード!$D$2:$D$50,"未登録")
&amp;"-"&amp;テーブル1[[#This Row],[SIZE]]</f>
        <v>#REF!</v>
      </c>
      <c r="E38" s="2" t="e">
        <f>SKUマスタ!#REF!</f>
        <v>#REF!</v>
      </c>
      <c r="F38" s="2" t="e">
        <f>SKUマスタ!#REF!</f>
        <v>#REF!</v>
      </c>
      <c r="G38" s="2" t="s">
        <v>503</v>
      </c>
      <c r="H38" s="2" t="s">
        <v>4</v>
      </c>
      <c r="I38" s="78" t="e">
        <f>SKUマスタ!#REF!</f>
        <v>#REF!</v>
      </c>
      <c r="J38" s="2">
        <v>1</v>
      </c>
      <c r="K38" s="7" t="e">
        <f>SKUマスタ!#REF!*110%</f>
        <v>#REF!</v>
      </c>
      <c r="L38" s="8" t="e">
        <f>テーブル1[[#This Row],[RETAIL PRICE(JPY)]]*50%</f>
        <v>#REF!</v>
      </c>
    </row>
    <row r="39" spans="2:12" ht="25" customHeight="1">
      <c r="B39" s="2"/>
      <c r="C39" s="2" t="e">
        <f>SKUマスタ!#REF!</f>
        <v>#REF!</v>
      </c>
      <c r="D39" s="2" t="e">
        <f>テーブル1[[#This Row],[STYLE NUMBER]]&amp;"-"&amp;
_xlfn.XLOOKUP(G39, カラーコード!$C$2:$C$50, カラーコード!$D$2:$D$50,"未登録")
&amp;"-"&amp;テーブル1[[#This Row],[SIZE]]</f>
        <v>#REF!</v>
      </c>
      <c r="E39" s="2" t="e">
        <f>SKUマスタ!#REF!</f>
        <v>#REF!</v>
      </c>
      <c r="F39" s="2" t="e">
        <f>SKUマスタ!#REF!</f>
        <v>#REF!</v>
      </c>
      <c r="G39" s="2" t="s">
        <v>503</v>
      </c>
      <c r="H39" s="2" t="s">
        <v>0</v>
      </c>
      <c r="I39" s="78" t="e">
        <f>SKUマスタ!#REF!</f>
        <v>#REF!</v>
      </c>
      <c r="J39" s="2">
        <v>1</v>
      </c>
      <c r="K39" s="7" t="e">
        <f>SKUマスタ!#REF!*110%</f>
        <v>#REF!</v>
      </c>
      <c r="L39" s="8" t="e">
        <f>テーブル1[[#This Row],[RETAIL PRICE(JPY)]]*50%</f>
        <v>#REF!</v>
      </c>
    </row>
    <row r="40" spans="2:12" ht="25" customHeight="1">
      <c r="B40" s="2"/>
      <c r="C40" s="2" t="e">
        <f>SKUマスタ!#REF!</f>
        <v>#REF!</v>
      </c>
      <c r="D40" s="2" t="e">
        <f>テーブル1[[#This Row],[STYLE NUMBER]]&amp;"-"&amp;
_xlfn.XLOOKUP(G40, カラーコード!$C$2:$C$50, カラーコード!$D$2:$D$50,"未登録")
&amp;"-"&amp;テーブル1[[#This Row],[SIZE]]</f>
        <v>#REF!</v>
      </c>
      <c r="E40" s="2" t="e">
        <f>SKUマスタ!#REF!</f>
        <v>#REF!</v>
      </c>
      <c r="F40" s="2" t="e">
        <f>SKUマスタ!#REF!</f>
        <v>#REF!</v>
      </c>
      <c r="G40" s="2" t="s">
        <v>503</v>
      </c>
      <c r="H40" s="2" t="s">
        <v>14</v>
      </c>
      <c r="I40" s="78" t="e">
        <f>SKUマスタ!#REF!</f>
        <v>#REF!</v>
      </c>
      <c r="J40" s="2">
        <v>1</v>
      </c>
      <c r="K40" s="7" t="e">
        <f>SKUマスタ!#REF!*110%</f>
        <v>#REF!</v>
      </c>
      <c r="L40" s="8" t="e">
        <f>テーブル1[[#This Row],[RETAIL PRICE(JPY)]]*50%</f>
        <v>#REF!</v>
      </c>
    </row>
    <row r="41" spans="2:12" ht="25" customHeight="1">
      <c r="B41" s="2"/>
      <c r="C41" s="2" t="e">
        <f>SKUマスタ!#REF!</f>
        <v>#REF!</v>
      </c>
      <c r="D41" s="2" t="e">
        <f>テーブル1[[#This Row],[STYLE NUMBER]]&amp;"-"&amp;
_xlfn.XLOOKUP(G41, カラーコード!$C$2:$C$50, カラーコード!$D$2:$D$50,"未登録")
&amp;"-"&amp;テーブル1[[#This Row],[SIZE]]</f>
        <v>#REF!</v>
      </c>
      <c r="E41" s="2" t="e">
        <f>SKUマスタ!#REF!</f>
        <v>#REF!</v>
      </c>
      <c r="F41" s="2" t="e">
        <f>SKUマスタ!#REF!</f>
        <v>#REF!</v>
      </c>
      <c r="G41" s="2" t="s">
        <v>503</v>
      </c>
      <c r="H41" s="2" t="s">
        <v>501</v>
      </c>
      <c r="I41" s="78" t="e">
        <f>SKUマスタ!#REF!</f>
        <v>#REF!</v>
      </c>
      <c r="J41" s="2">
        <v>1</v>
      </c>
      <c r="K41" s="7" t="e">
        <f>SKUマスタ!#REF!*110%</f>
        <v>#REF!</v>
      </c>
      <c r="L41" s="8" t="e">
        <f>テーブル1[[#This Row],[RETAIL PRICE(JPY)]]*50%</f>
        <v>#REF!</v>
      </c>
    </row>
    <row r="42" spans="2:12" ht="25" customHeight="1">
      <c r="B42" s="2"/>
      <c r="C42" s="2" t="e">
        <f>SKUマスタ!#REF!</f>
        <v>#REF!</v>
      </c>
      <c r="D42" s="2" t="e">
        <f>テーブル1[[#This Row],[STYLE NUMBER]]&amp;"-"&amp;
_xlfn.XLOOKUP(G42, カラーコード!$C$2:$C$50, カラーコード!$D$2:$D$50,"未登録")
&amp;"-"&amp;テーブル1[[#This Row],[SIZE]]</f>
        <v>#REF!</v>
      </c>
      <c r="E42" s="2" t="e">
        <f>SKUマスタ!#REF!</f>
        <v>#REF!</v>
      </c>
      <c r="F42" s="2" t="e">
        <f>SKUマスタ!#REF!</f>
        <v>#REF!</v>
      </c>
      <c r="G42" s="2" t="s">
        <v>503</v>
      </c>
      <c r="H42" s="2" t="s">
        <v>501</v>
      </c>
      <c r="I42" s="78" t="e">
        <f>SKUマスタ!#REF!</f>
        <v>#REF!</v>
      </c>
      <c r="J42" s="2">
        <v>1</v>
      </c>
      <c r="K42" s="7" t="e">
        <f>SKUマスタ!#REF!*110%</f>
        <v>#REF!</v>
      </c>
      <c r="L42" s="8" t="e">
        <f>テーブル1[[#This Row],[RETAIL PRICE(JPY)]]*50%</f>
        <v>#REF!</v>
      </c>
    </row>
    <row r="43" spans="2:12" ht="25" customHeight="1">
      <c r="B43" s="2"/>
      <c r="C43" s="2" t="e">
        <f>SKUマスタ!#REF!</f>
        <v>#REF!</v>
      </c>
      <c r="D43" s="2" t="e">
        <f>テーブル1[[#This Row],[STYLE NUMBER]]&amp;"-"&amp;
_xlfn.XLOOKUP(G43, カラーコード!$C$2:$C$50, カラーコード!$D$2:$D$50,"未登録")
&amp;"-"&amp;テーブル1[[#This Row],[SIZE]]</f>
        <v>#REF!</v>
      </c>
      <c r="E43" s="2" t="e">
        <f>SKUマスタ!#REF!</f>
        <v>#REF!</v>
      </c>
      <c r="F43" s="2" t="e">
        <f>SKUマスタ!#REF!</f>
        <v>#REF!</v>
      </c>
      <c r="G43" s="2" t="s">
        <v>503</v>
      </c>
      <c r="H43" s="2" t="s">
        <v>501</v>
      </c>
      <c r="I43" s="78" t="e">
        <f>SKUマスタ!#REF!</f>
        <v>#REF!</v>
      </c>
      <c r="J43" s="2">
        <v>1</v>
      </c>
      <c r="K43" s="7" t="e">
        <f>SKUマスタ!#REF!*110%</f>
        <v>#REF!</v>
      </c>
      <c r="L43" s="8" t="e">
        <f>テーブル1[[#This Row],[RETAIL PRICE(JPY)]]*50%</f>
        <v>#REF!</v>
      </c>
    </row>
    <row r="44" spans="2:12" ht="25" customHeight="1">
      <c r="B44" s="2"/>
      <c r="C44" s="2" t="e">
        <f>SKUマスタ!#REF!</f>
        <v>#REF!</v>
      </c>
      <c r="D44" s="2" t="e">
        <f>テーブル1[[#This Row],[STYLE NUMBER]]&amp;"-"&amp;
_xlfn.XLOOKUP(G44, カラーコード!$C$2:$C$50, カラーコード!$D$2:$D$50,"未登録")
&amp;"-"&amp;テーブル1[[#This Row],[SIZE]]</f>
        <v>#REF!</v>
      </c>
      <c r="E44" s="2" t="e">
        <f>SKUマスタ!#REF!</f>
        <v>#REF!</v>
      </c>
      <c r="F44" s="2" t="e">
        <f>SKUマスタ!#REF!</f>
        <v>#REF!</v>
      </c>
      <c r="G44" s="2" t="s">
        <v>503</v>
      </c>
      <c r="H44" s="2" t="s">
        <v>501</v>
      </c>
      <c r="I44" s="78" t="e">
        <f>SKUマスタ!#REF!</f>
        <v>#REF!</v>
      </c>
      <c r="J44" s="2">
        <v>1</v>
      </c>
      <c r="K44" s="7" t="e">
        <f>SKUマスタ!#REF!*110%</f>
        <v>#REF!</v>
      </c>
      <c r="L44" s="8" t="e">
        <f>テーブル1[[#This Row],[RETAIL PRICE(JPY)]]*50%</f>
        <v>#REF!</v>
      </c>
    </row>
    <row r="45" spans="2:12" ht="25" customHeight="1">
      <c r="B45" s="2"/>
      <c r="C45" s="2"/>
      <c r="D45" s="2"/>
      <c r="E45" s="2"/>
      <c r="F45" s="2"/>
      <c r="G45" s="2"/>
      <c r="H45" s="2"/>
      <c r="I45" s="78"/>
      <c r="J45" s="2"/>
      <c r="K45" s="9"/>
      <c r="L45" s="10"/>
    </row>
    <row r="46" spans="2:12" ht="25" customHeight="1">
      <c r="B46" s="2"/>
      <c r="C46" s="2"/>
      <c r="D46" s="2"/>
      <c r="E46" s="2"/>
      <c r="F46" s="2"/>
      <c r="G46" s="2"/>
      <c r="H46" s="2"/>
      <c r="I46" s="78"/>
      <c r="J46" s="2"/>
      <c r="K46" s="9"/>
      <c r="L46" s="10"/>
    </row>
    <row r="47" spans="2:12" ht="25" customHeight="1">
      <c r="B47" s="2"/>
      <c r="C47" s="2"/>
      <c r="D47" s="2"/>
      <c r="E47" s="2"/>
      <c r="F47" s="2"/>
      <c r="G47" s="2"/>
      <c r="H47" s="2"/>
      <c r="I47" s="78"/>
      <c r="J47" s="2"/>
      <c r="K47" s="9"/>
      <c r="L47" s="10"/>
    </row>
    <row r="48" spans="2:12" ht="25" customHeight="1">
      <c r="B48" s="2"/>
      <c r="C48" s="2"/>
      <c r="D48" s="2"/>
      <c r="E48" s="2"/>
      <c r="F48" s="2"/>
      <c r="G48" s="2"/>
      <c r="H48" s="2"/>
      <c r="I48" s="78"/>
      <c r="J48" s="2"/>
      <c r="K48" s="9"/>
      <c r="L48" s="10"/>
    </row>
    <row r="49" spans="2:12" ht="25" customHeight="1">
      <c r="B49" s="2"/>
      <c r="C49" s="2"/>
      <c r="D49" s="2"/>
      <c r="E49" s="2"/>
      <c r="F49" s="2"/>
      <c r="G49" s="2"/>
      <c r="H49" s="2"/>
      <c r="I49" s="78"/>
      <c r="J49" s="2"/>
      <c r="K49" s="9"/>
      <c r="L49" s="10"/>
    </row>
    <row r="50" spans="2:12" ht="25" customHeight="1">
      <c r="B50" s="2"/>
      <c r="C50" s="2"/>
      <c r="D50" s="2"/>
      <c r="E50" s="2"/>
      <c r="F50" s="2"/>
      <c r="G50" s="2"/>
      <c r="H50" s="2"/>
      <c r="I50" s="78"/>
      <c r="J50" s="2"/>
      <c r="K50" s="9"/>
      <c r="L50" s="10"/>
    </row>
    <row r="51" spans="2:12" ht="25" customHeight="1">
      <c r="B51" s="2"/>
      <c r="C51" s="2"/>
      <c r="D51" s="2"/>
      <c r="E51" s="2"/>
      <c r="F51" s="2"/>
      <c r="G51" s="2"/>
      <c r="H51" s="2"/>
      <c r="I51" s="78"/>
      <c r="J51" s="2"/>
      <c r="K51" s="9"/>
      <c r="L51" s="10"/>
    </row>
    <row r="52" spans="2:12" ht="25" customHeight="1">
      <c r="B52" s="2"/>
      <c r="C52" s="2"/>
      <c r="D52" s="2"/>
      <c r="E52" s="2"/>
      <c r="F52" s="2"/>
      <c r="G52" s="2"/>
      <c r="H52" s="2"/>
      <c r="I52" s="78"/>
      <c r="J52" s="2"/>
      <c r="K52" s="9"/>
      <c r="L52" s="10"/>
    </row>
    <row r="53" spans="2:12" ht="25" customHeight="1">
      <c r="B53" s="2"/>
      <c r="C53" s="2"/>
      <c r="D53" s="2"/>
      <c r="E53" s="2"/>
      <c r="F53" s="2"/>
      <c r="G53" s="2"/>
      <c r="H53" s="2"/>
      <c r="I53" s="78"/>
      <c r="J53" s="2"/>
      <c r="K53" s="9"/>
      <c r="L53" s="10"/>
    </row>
    <row r="54" spans="2:12" ht="25" customHeight="1">
      <c r="B54" s="2"/>
      <c r="C54" s="2"/>
      <c r="D54" s="2"/>
      <c r="E54" s="2"/>
      <c r="F54" s="2"/>
      <c r="G54" s="2"/>
      <c r="H54" s="2"/>
      <c r="I54" s="78"/>
      <c r="J54" s="2"/>
      <c r="K54" s="9"/>
      <c r="L54" s="10"/>
    </row>
    <row r="55" spans="2:12" ht="25" customHeight="1">
      <c r="B55" s="2"/>
      <c r="C55" s="2"/>
      <c r="D55" s="2"/>
      <c r="E55" s="2"/>
      <c r="F55" s="2"/>
      <c r="G55" s="2"/>
      <c r="H55" s="2"/>
      <c r="I55" s="78"/>
      <c r="J55" s="2"/>
      <c r="K55" s="9"/>
      <c r="L55" s="10"/>
    </row>
    <row r="56" spans="2:12" ht="25" customHeight="1">
      <c r="B56" s="2"/>
      <c r="C56" s="2"/>
      <c r="D56" s="2"/>
      <c r="E56" s="2"/>
      <c r="F56" s="2"/>
      <c r="G56" s="2"/>
      <c r="H56" s="2"/>
      <c r="I56" s="78"/>
      <c r="J56" s="2"/>
      <c r="K56" s="9"/>
      <c r="L56" s="10"/>
    </row>
    <row r="57" spans="2:12" ht="25" customHeight="1">
      <c r="B57" s="2"/>
      <c r="C57" s="2"/>
      <c r="D57" s="2"/>
      <c r="E57" s="2"/>
      <c r="F57" s="2"/>
      <c r="G57" s="2"/>
      <c r="H57" s="2"/>
      <c r="I57" s="78"/>
      <c r="J57" s="2"/>
      <c r="K57" s="9"/>
      <c r="L57" s="10"/>
    </row>
    <row r="58" spans="2:12" ht="25" customHeight="1">
      <c r="B58" s="2"/>
      <c r="C58" s="2"/>
      <c r="D58" s="2"/>
      <c r="E58" s="2"/>
      <c r="F58" s="2"/>
      <c r="G58" s="2"/>
      <c r="H58" s="2"/>
      <c r="I58" s="78"/>
      <c r="J58" s="2"/>
      <c r="K58" s="9"/>
      <c r="L58" s="10"/>
    </row>
    <row r="59" spans="2:12" ht="25" customHeight="1">
      <c r="B59" s="2"/>
      <c r="C59" s="2"/>
      <c r="D59" s="2"/>
      <c r="E59" s="2"/>
      <c r="F59" s="2"/>
      <c r="G59" s="2"/>
      <c r="H59" s="2"/>
      <c r="I59" s="78"/>
      <c r="J59" s="2"/>
      <c r="K59" s="9"/>
      <c r="L59" s="10"/>
    </row>
    <row r="60" spans="2:12" ht="25" customHeight="1">
      <c r="B60" s="2"/>
      <c r="C60" s="2"/>
      <c r="D60" s="2"/>
      <c r="E60" s="2"/>
      <c r="F60" s="2"/>
      <c r="G60" s="2"/>
      <c r="H60" s="2"/>
      <c r="I60" s="78"/>
      <c r="J60" s="2"/>
      <c r="K60" s="9"/>
      <c r="L60" s="10"/>
    </row>
    <row r="61" spans="2:12" ht="18">
      <c r="B61" s="2"/>
      <c r="C61" s="2"/>
      <c r="D61" s="2"/>
      <c r="E61" s="2"/>
      <c r="F61" s="2"/>
      <c r="G61" s="2"/>
      <c r="H61" s="2"/>
      <c r="I61" s="78"/>
      <c r="J61" s="2"/>
      <c r="K61" s="9"/>
      <c r="L61" s="10"/>
    </row>
    <row r="62" spans="2:12" ht="18">
      <c r="B62" s="2"/>
      <c r="C62" s="2"/>
      <c r="D62" s="2"/>
      <c r="E62" s="2"/>
      <c r="F62" s="2"/>
      <c r="G62" s="2"/>
      <c r="H62" s="2"/>
      <c r="I62" s="78"/>
      <c r="J62" s="2"/>
      <c r="K62" s="9"/>
      <c r="L62" s="10"/>
    </row>
    <row r="63" spans="2:12" ht="18">
      <c r="B63" s="2"/>
      <c r="C63" s="2"/>
      <c r="D63" s="2"/>
      <c r="E63" s="2"/>
      <c r="F63" s="2"/>
      <c r="G63" s="2"/>
      <c r="H63" s="2"/>
      <c r="I63" s="78"/>
      <c r="J63" s="2"/>
      <c r="K63" s="9"/>
      <c r="L63" s="10"/>
    </row>
    <row r="64" spans="2:12" ht="18">
      <c r="B64" s="2"/>
      <c r="C64" s="2"/>
      <c r="D64" s="2"/>
      <c r="E64" s="2"/>
      <c r="F64" s="2"/>
      <c r="G64" s="2"/>
      <c r="H64" s="2"/>
      <c r="I64" s="78"/>
      <c r="J64" s="2"/>
      <c r="K64" s="9"/>
      <c r="L64" s="10"/>
    </row>
    <row r="65" spans="2:12" ht="18">
      <c r="B65" s="2"/>
      <c r="C65" s="2"/>
      <c r="D65" s="2"/>
      <c r="E65" s="2"/>
      <c r="F65" s="2"/>
      <c r="G65" s="2"/>
      <c r="H65" s="2"/>
      <c r="I65" s="78"/>
      <c r="J65" s="2"/>
      <c r="K65" s="9"/>
      <c r="L65" s="10"/>
    </row>
    <row r="66" spans="2:12" ht="18">
      <c r="B66" s="2"/>
      <c r="C66" s="2"/>
      <c r="D66" s="2"/>
      <c r="E66" s="2"/>
      <c r="F66" s="2"/>
      <c r="G66" s="2"/>
      <c r="H66" s="2"/>
      <c r="I66" s="78"/>
      <c r="J66" s="2"/>
      <c r="K66" s="9"/>
      <c r="L66" s="10"/>
    </row>
    <row r="67" spans="2:12" ht="18">
      <c r="B67" s="2"/>
      <c r="C67" s="2"/>
      <c r="D67" s="2"/>
      <c r="E67" s="2"/>
      <c r="F67" s="2"/>
      <c r="G67" s="2"/>
      <c r="H67" s="2"/>
      <c r="I67" s="78"/>
      <c r="J67" s="2"/>
      <c r="K67" s="9"/>
      <c r="L67" s="10"/>
    </row>
    <row r="68" spans="2:12" ht="18">
      <c r="B68" s="2"/>
      <c r="C68" s="2"/>
      <c r="D68" s="2"/>
      <c r="E68" s="2"/>
      <c r="F68" s="2"/>
      <c r="G68" s="2"/>
      <c r="H68" s="2"/>
      <c r="I68" s="78"/>
      <c r="J68" s="2"/>
      <c r="K68" s="9"/>
      <c r="L68" s="10"/>
    </row>
    <row r="69" spans="2:12" ht="18">
      <c r="B69" s="2"/>
      <c r="C69" s="2"/>
      <c r="D69" s="2"/>
      <c r="E69" s="2"/>
      <c r="F69" s="2"/>
      <c r="G69" s="2"/>
      <c r="H69" s="2"/>
      <c r="I69" s="78"/>
      <c r="J69" s="2"/>
      <c r="K69" s="9"/>
      <c r="L69" s="10"/>
    </row>
    <row r="70" spans="2:12" ht="18">
      <c r="B70" s="2"/>
      <c r="C70" s="2"/>
      <c r="D70" s="2"/>
      <c r="E70" s="2"/>
      <c r="F70" s="2"/>
      <c r="G70" s="2"/>
      <c r="H70" s="2"/>
      <c r="I70" s="78"/>
      <c r="J70" s="2"/>
      <c r="K70" s="9"/>
      <c r="L70" s="10"/>
    </row>
    <row r="71" spans="2:12" ht="18">
      <c r="B71" s="2"/>
      <c r="C71" s="2"/>
      <c r="D71" s="2"/>
      <c r="E71" s="2"/>
      <c r="F71" s="2"/>
      <c r="G71" s="2"/>
      <c r="H71" s="2"/>
      <c r="I71" s="78"/>
      <c r="J71" s="2"/>
      <c r="K71" s="9"/>
      <c r="L71" s="10"/>
    </row>
    <row r="72" spans="2:12" ht="18">
      <c r="B72" s="2"/>
      <c r="C72" s="2"/>
      <c r="D72" s="2"/>
      <c r="E72" s="2"/>
      <c r="F72" s="2"/>
      <c r="G72" s="2"/>
      <c r="H72" s="2"/>
      <c r="I72" s="78"/>
      <c r="J72" s="2"/>
      <c r="K72" s="9"/>
      <c r="L72" s="10"/>
    </row>
    <row r="73" spans="2:12" ht="18">
      <c r="B73" s="2"/>
      <c r="C73" s="2"/>
      <c r="D73" s="2"/>
      <c r="E73" s="2"/>
      <c r="F73" s="2"/>
      <c r="G73" s="2"/>
      <c r="H73" s="2"/>
      <c r="I73" s="78"/>
      <c r="J73" s="2"/>
      <c r="K73" s="9"/>
      <c r="L73" s="10"/>
    </row>
    <row r="74" spans="2:12" ht="18">
      <c r="B74" s="2"/>
      <c r="C74" s="2"/>
      <c r="D74" s="2"/>
      <c r="E74" s="2"/>
      <c r="F74" s="2"/>
      <c r="G74" s="2"/>
      <c r="H74" s="2"/>
      <c r="I74" s="78"/>
      <c r="J74" s="2"/>
      <c r="K74" s="9"/>
      <c r="L74" s="10"/>
    </row>
    <row r="75" spans="2:12" ht="18">
      <c r="B75" s="2"/>
      <c r="C75" s="2"/>
      <c r="D75" s="2"/>
      <c r="E75" s="2"/>
      <c r="F75" s="2"/>
      <c r="G75" s="2"/>
      <c r="H75" s="2"/>
      <c r="I75" s="78"/>
      <c r="J75" s="2"/>
      <c r="K75" s="9"/>
      <c r="L75" s="10"/>
    </row>
    <row r="76" spans="2:12" ht="18">
      <c r="B76" s="2"/>
      <c r="C76" s="2"/>
      <c r="D76" s="2"/>
      <c r="E76" s="2"/>
      <c r="F76" s="2"/>
      <c r="G76" s="2"/>
      <c r="H76" s="2"/>
      <c r="I76" s="78"/>
      <c r="J76" s="2"/>
      <c r="K76" s="9"/>
      <c r="L76" s="10"/>
    </row>
    <row r="77" spans="2:12" ht="18">
      <c r="B77" s="3"/>
      <c r="C77" s="3"/>
      <c r="D77" s="3"/>
      <c r="E77" s="3"/>
      <c r="F77" s="3"/>
      <c r="G77" s="3"/>
      <c r="H77" s="3"/>
      <c r="I77" s="79"/>
      <c r="J77" s="3"/>
      <c r="K77" s="11"/>
      <c r="L77" s="12"/>
    </row>
    <row r="78" spans="2:12" ht="18">
      <c r="B78" s="3"/>
      <c r="C78" s="3"/>
      <c r="D78" s="3"/>
      <c r="E78" s="3"/>
      <c r="F78" s="3"/>
      <c r="G78" s="3"/>
      <c r="H78" s="3"/>
      <c r="I78" s="79"/>
      <c r="J78" s="3"/>
      <c r="K78" s="11"/>
      <c r="L78" s="12"/>
    </row>
    <row r="79" spans="2:12" ht="18">
      <c r="B79" s="3"/>
      <c r="C79" s="3"/>
      <c r="D79" s="3"/>
      <c r="E79" s="3"/>
      <c r="F79" s="3"/>
      <c r="G79" s="3"/>
      <c r="H79" s="3"/>
      <c r="I79" s="79"/>
      <c r="J79" s="3"/>
      <c r="K79" s="11"/>
      <c r="L79" s="12"/>
    </row>
    <row r="80" spans="2:12" ht="18">
      <c r="B80" s="3"/>
      <c r="C80" s="3"/>
      <c r="D80" s="3"/>
      <c r="E80" s="3"/>
      <c r="F80" s="3"/>
      <c r="G80" s="3"/>
      <c r="H80" s="3"/>
      <c r="I80" s="79"/>
      <c r="J80" s="3"/>
      <c r="K80" s="11"/>
      <c r="L80" s="12"/>
    </row>
    <row r="81" spans="2:12" ht="18">
      <c r="B81" s="2"/>
      <c r="C81" s="2"/>
      <c r="D81" s="2"/>
      <c r="E81" s="2"/>
      <c r="F81" s="2"/>
      <c r="G81" s="2"/>
      <c r="H81" s="2"/>
      <c r="I81" s="78"/>
      <c r="J81" s="2"/>
      <c r="K81" s="9"/>
      <c r="L81" s="10"/>
    </row>
    <row r="82" spans="2:12" ht="18">
      <c r="B82" s="2"/>
      <c r="C82" s="2"/>
      <c r="D82" s="2"/>
      <c r="E82" s="2"/>
      <c r="F82" s="2"/>
      <c r="G82" s="2"/>
      <c r="H82" s="2"/>
      <c r="I82" s="78"/>
      <c r="J82" s="2"/>
      <c r="K82" s="9"/>
      <c r="L82" s="10"/>
    </row>
    <row r="83" spans="2:12" ht="18">
      <c r="B83" s="2"/>
      <c r="C83" s="2"/>
      <c r="D83" s="2"/>
      <c r="E83" s="2"/>
      <c r="F83" s="2"/>
      <c r="G83" s="2"/>
      <c r="H83" s="2"/>
      <c r="I83" s="78"/>
      <c r="J83" s="2"/>
      <c r="K83" s="9"/>
      <c r="L83" s="10"/>
    </row>
    <row r="84" spans="2:12" ht="18">
      <c r="B84" s="2"/>
      <c r="C84" s="2"/>
      <c r="D84" s="2"/>
      <c r="E84" s="2"/>
      <c r="F84" s="2"/>
      <c r="G84" s="2"/>
      <c r="H84" s="2"/>
      <c r="I84" s="78"/>
      <c r="J84" s="2"/>
      <c r="K84" s="9"/>
      <c r="L84" s="10"/>
    </row>
    <row r="85" spans="2:12" ht="18">
      <c r="B85" s="2"/>
      <c r="C85" s="2"/>
      <c r="D85" s="2"/>
      <c r="E85" s="2"/>
      <c r="F85" s="2"/>
      <c r="G85" s="2"/>
      <c r="H85" s="2"/>
      <c r="I85" s="78"/>
      <c r="J85" s="2"/>
      <c r="K85" s="9"/>
      <c r="L85" s="10"/>
    </row>
    <row r="86" spans="2:12" ht="18">
      <c r="B86" s="2"/>
      <c r="C86" s="2"/>
      <c r="D86" s="2"/>
      <c r="E86" s="2"/>
      <c r="F86" s="2"/>
      <c r="G86" s="2"/>
      <c r="H86" s="2"/>
      <c r="I86" s="78"/>
      <c r="J86" s="2"/>
      <c r="K86" s="9"/>
      <c r="L86" s="10"/>
    </row>
    <row r="87" spans="2:12" ht="18">
      <c r="B87" s="2"/>
      <c r="C87" s="2"/>
      <c r="D87" s="2"/>
      <c r="E87" s="2"/>
      <c r="F87" s="2"/>
      <c r="G87" s="2"/>
      <c r="H87" s="2"/>
      <c r="I87" s="78"/>
      <c r="J87" s="2"/>
      <c r="K87" s="9"/>
      <c r="L87" s="10"/>
    </row>
    <row r="88" spans="2:12" ht="18">
      <c r="B88" s="2"/>
      <c r="C88" s="2"/>
      <c r="D88" s="2"/>
      <c r="E88" s="2"/>
      <c r="F88" s="2"/>
      <c r="G88" s="2"/>
      <c r="H88" s="2"/>
      <c r="I88" s="78"/>
      <c r="J88" s="2"/>
      <c r="K88" s="9"/>
      <c r="L88" s="10"/>
    </row>
    <row r="89" spans="2:12" ht="18">
      <c r="B89" s="2"/>
      <c r="C89" s="2"/>
      <c r="D89" s="2"/>
      <c r="E89" s="2"/>
      <c r="F89" s="2"/>
      <c r="G89" s="2"/>
      <c r="H89" s="2"/>
      <c r="I89" s="78"/>
      <c r="J89" s="2"/>
      <c r="K89" s="9"/>
      <c r="L89" s="10"/>
    </row>
    <row r="90" spans="2:12" ht="18">
      <c r="B90" s="2"/>
      <c r="C90" s="2"/>
      <c r="D90" s="2"/>
      <c r="E90" s="2"/>
      <c r="F90" s="2"/>
      <c r="G90" s="2"/>
      <c r="H90" s="2"/>
      <c r="I90" s="78"/>
      <c r="J90" s="2"/>
      <c r="K90" s="9"/>
      <c r="L90" s="10"/>
    </row>
    <row r="91" spans="2:12" ht="18">
      <c r="B91" s="2"/>
      <c r="C91" s="2"/>
      <c r="D91" s="2"/>
      <c r="E91" s="2"/>
      <c r="F91" s="2"/>
      <c r="G91" s="2"/>
      <c r="H91" s="2"/>
      <c r="I91" s="78"/>
      <c r="J91" s="2"/>
      <c r="K91" s="9"/>
      <c r="L91" s="10"/>
    </row>
    <row r="92" spans="2:12" ht="18">
      <c r="B92" s="2"/>
      <c r="C92" s="2"/>
      <c r="D92" s="2"/>
      <c r="E92" s="2"/>
      <c r="F92" s="2"/>
      <c r="G92" s="2"/>
      <c r="H92" s="2"/>
      <c r="I92" s="78"/>
      <c r="J92" s="2"/>
      <c r="K92" s="9"/>
      <c r="L92" s="10"/>
    </row>
    <row r="93" spans="2:12" ht="18">
      <c r="B93" s="2"/>
      <c r="C93" s="2"/>
      <c r="D93" s="2"/>
      <c r="E93" s="2"/>
      <c r="F93" s="2"/>
      <c r="G93" s="2"/>
      <c r="H93" s="2"/>
      <c r="I93" s="78"/>
      <c r="J93" s="2"/>
      <c r="K93" s="9"/>
      <c r="L93" s="10"/>
    </row>
    <row r="94" spans="2:12" ht="18">
      <c r="B94" s="2"/>
      <c r="C94" s="2"/>
      <c r="D94" s="2"/>
      <c r="E94" s="2"/>
      <c r="F94" s="2"/>
      <c r="G94" s="2"/>
      <c r="H94" s="2"/>
      <c r="I94" s="78"/>
      <c r="J94" s="2"/>
      <c r="K94" s="9"/>
      <c r="L94" s="10"/>
    </row>
    <row r="95" spans="2:12" ht="18">
      <c r="B95" s="2"/>
      <c r="C95" s="2"/>
      <c r="D95" s="2"/>
      <c r="E95" s="2"/>
      <c r="F95" s="2"/>
      <c r="G95" s="2"/>
      <c r="H95" s="2"/>
      <c r="I95" s="78"/>
      <c r="J95" s="2"/>
      <c r="K95" s="9"/>
      <c r="L95" s="10"/>
    </row>
    <row r="96" spans="2:12" ht="18">
      <c r="B96" s="2"/>
      <c r="C96" s="2"/>
      <c r="D96" s="2"/>
      <c r="E96" s="2"/>
      <c r="F96" s="2"/>
      <c r="G96" s="2"/>
      <c r="H96" s="2"/>
      <c r="I96" s="78"/>
      <c r="J96" s="2"/>
      <c r="K96" s="9"/>
      <c r="L96" s="10"/>
    </row>
    <row r="97" spans="2:12" ht="18">
      <c r="B97" s="2"/>
      <c r="C97" s="2"/>
      <c r="D97" s="2"/>
      <c r="E97" s="2"/>
      <c r="F97" s="2"/>
      <c r="G97" s="2"/>
      <c r="H97" s="2"/>
      <c r="I97" s="78"/>
      <c r="J97" s="2"/>
      <c r="K97" s="9"/>
      <c r="L97" s="10"/>
    </row>
    <row r="98" spans="2:12" ht="18">
      <c r="B98" s="2"/>
      <c r="C98" s="2"/>
      <c r="D98" s="2"/>
      <c r="E98" s="2"/>
      <c r="F98" s="2"/>
      <c r="G98" s="2"/>
      <c r="H98" s="2"/>
      <c r="I98" s="78"/>
      <c r="J98" s="2"/>
      <c r="K98" s="9"/>
      <c r="L98" s="10"/>
    </row>
    <row r="99" spans="2:12" ht="18">
      <c r="B99" s="2"/>
      <c r="C99" s="2"/>
      <c r="D99" s="2"/>
      <c r="E99" s="2"/>
      <c r="F99" s="2"/>
      <c r="G99" s="2"/>
      <c r="H99" s="2"/>
      <c r="I99" s="78"/>
      <c r="J99" s="2"/>
      <c r="K99" s="9"/>
      <c r="L99" s="10"/>
    </row>
    <row r="100" spans="2:12" ht="18">
      <c r="B100" s="2"/>
      <c r="C100" s="2"/>
      <c r="D100" s="2"/>
      <c r="E100" s="2"/>
      <c r="F100" s="2"/>
      <c r="G100" s="2"/>
      <c r="H100" s="2"/>
      <c r="I100" s="78"/>
      <c r="J100" s="2"/>
      <c r="K100" s="9"/>
      <c r="L100" s="10"/>
    </row>
    <row r="101" spans="2:12" ht="18">
      <c r="B101" s="2"/>
      <c r="C101" s="2"/>
      <c r="D101" s="2"/>
      <c r="E101" s="2"/>
      <c r="F101" s="2"/>
      <c r="G101" s="2"/>
      <c r="H101" s="2"/>
      <c r="I101" s="78"/>
      <c r="J101" s="2"/>
      <c r="K101" s="9"/>
      <c r="L101" s="10"/>
    </row>
    <row r="102" spans="2:12" ht="18">
      <c r="B102" s="2"/>
      <c r="C102" s="2"/>
      <c r="D102" s="2"/>
      <c r="E102" s="2"/>
      <c r="F102" s="2"/>
      <c r="G102" s="2"/>
      <c r="H102" s="2"/>
      <c r="I102" s="78"/>
      <c r="J102" s="2"/>
      <c r="K102" s="9"/>
      <c r="L102" s="10"/>
    </row>
    <row r="103" spans="2:12" ht="18">
      <c r="B103" s="2"/>
      <c r="C103" s="2"/>
      <c r="D103" s="2"/>
      <c r="E103" s="2"/>
      <c r="F103" s="2"/>
      <c r="G103" s="2"/>
      <c r="H103" s="2"/>
      <c r="I103" s="78"/>
      <c r="J103" s="2"/>
      <c r="K103" s="9"/>
      <c r="L103" s="10"/>
    </row>
    <row r="104" spans="2:12" ht="18">
      <c r="B104" s="2"/>
      <c r="C104" s="2"/>
      <c r="D104" s="2"/>
      <c r="E104" s="2"/>
      <c r="F104" s="2"/>
      <c r="G104" s="2"/>
      <c r="H104" s="2"/>
      <c r="I104" s="78"/>
      <c r="J104" s="2"/>
      <c r="K104" s="9"/>
      <c r="L104" s="10"/>
    </row>
    <row r="105" spans="2:12" ht="18">
      <c r="B105" s="2"/>
      <c r="C105" s="2"/>
      <c r="D105" s="2"/>
      <c r="E105" s="2"/>
      <c r="F105" s="2"/>
      <c r="G105" s="2"/>
      <c r="H105" s="2"/>
      <c r="I105" s="78"/>
      <c r="J105" s="2"/>
      <c r="K105" s="9"/>
      <c r="L105" s="10"/>
    </row>
    <row r="106" spans="2:12" ht="18">
      <c r="B106" s="2"/>
      <c r="C106" s="2"/>
      <c r="D106" s="2"/>
      <c r="E106" s="2"/>
      <c r="F106" s="2"/>
      <c r="G106" s="2"/>
      <c r="H106" s="2"/>
      <c r="I106" s="78"/>
      <c r="J106" s="2"/>
      <c r="K106" s="9"/>
      <c r="L106" s="10"/>
    </row>
    <row r="107" spans="2:12" ht="18">
      <c r="B107" s="2"/>
      <c r="C107" s="2"/>
      <c r="D107" s="2"/>
      <c r="E107" s="2"/>
      <c r="F107" s="2"/>
      <c r="G107" s="2"/>
      <c r="H107" s="2"/>
      <c r="I107" s="78"/>
      <c r="J107" s="2"/>
      <c r="K107" s="9"/>
      <c r="L107" s="10"/>
    </row>
    <row r="108" spans="2:12" ht="18">
      <c r="B108" s="2"/>
      <c r="C108" s="2"/>
      <c r="D108" s="2"/>
      <c r="E108" s="2"/>
      <c r="F108" s="2"/>
      <c r="G108" s="2"/>
      <c r="H108" s="2"/>
      <c r="I108" s="78"/>
      <c r="J108" s="2"/>
      <c r="K108" s="9"/>
      <c r="L108" s="10"/>
    </row>
    <row r="109" spans="2:12" ht="18">
      <c r="B109" s="2"/>
      <c r="C109" s="2"/>
      <c r="D109" s="2"/>
      <c r="E109" s="2"/>
      <c r="F109" s="2"/>
      <c r="G109" s="2"/>
      <c r="H109" s="2"/>
      <c r="I109" s="78"/>
      <c r="J109" s="2"/>
      <c r="K109" s="9"/>
      <c r="L109" s="10"/>
    </row>
    <row r="110" spans="2:12" ht="18">
      <c r="B110" s="2"/>
      <c r="C110" s="2"/>
      <c r="D110" s="2"/>
      <c r="E110" s="2"/>
      <c r="F110" s="2"/>
      <c r="G110" s="2"/>
      <c r="H110" s="2"/>
      <c r="I110" s="78"/>
      <c r="J110" s="2"/>
      <c r="K110" s="9"/>
      <c r="L110" s="10"/>
    </row>
    <row r="111" spans="2:12" ht="18">
      <c r="B111" s="3"/>
      <c r="C111" s="3"/>
      <c r="D111" s="3"/>
      <c r="E111" s="3"/>
      <c r="F111" s="3"/>
      <c r="G111" s="3"/>
      <c r="H111" s="3"/>
      <c r="I111" s="79" t="str">
        <f>SKUマスタ!$J$3</f>
        <v>D1</v>
      </c>
      <c r="J111" s="3"/>
      <c r="K111" s="11"/>
      <c r="L111" s="12"/>
    </row>
  </sheetData>
  <phoneticPr fontId="3"/>
  <pageMargins left="0.7" right="0.7" top="0.75" bottom="0.75" header="0.3" footer="0.3"/>
  <pageSetup paperSize="256" orientation="portrait" horizontalDpi="0" verticalDpi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F7C9-6E0D-1D4F-9B21-AB63EFC0C857}">
  <dimension ref="B1:F29"/>
  <sheetViews>
    <sheetView workbookViewId="0">
      <selection activeCell="C3" sqref="C3"/>
    </sheetView>
  </sheetViews>
  <sheetFormatPr baseColWidth="10" defaultColWidth="7.5703125" defaultRowHeight="18"/>
  <cols>
    <col min="1" max="1" width="7.5703125" style="52"/>
    <col min="2" max="2" width="10.85546875" style="52" bestFit="1" customWidth="1"/>
    <col min="3" max="4" width="12.42578125" style="52" bestFit="1" customWidth="1"/>
    <col min="5" max="5" width="8.85546875" style="52" bestFit="1" customWidth="1"/>
    <col min="6" max="6" width="8.5703125" style="52" bestFit="1" customWidth="1"/>
    <col min="7" max="16384" width="7.5703125" style="52"/>
  </cols>
  <sheetData>
    <row r="1" spans="2:6" ht="25" customHeight="1"/>
    <row r="2" spans="2:6" ht="50" customHeight="1">
      <c r="B2" s="222" t="s">
        <v>243</v>
      </c>
      <c r="C2" s="223" t="s">
        <v>257</v>
      </c>
      <c r="D2" s="223" t="s">
        <v>256</v>
      </c>
      <c r="E2" s="223" t="s">
        <v>255</v>
      </c>
      <c r="F2" s="223" t="s">
        <v>254</v>
      </c>
    </row>
    <row r="3" spans="2:6" ht="25" customHeight="1">
      <c r="B3" s="52" t="s">
        <v>478</v>
      </c>
      <c r="C3" s="53">
        <v>40</v>
      </c>
      <c r="D3" s="53">
        <v>38</v>
      </c>
      <c r="E3" s="53" t="s">
        <v>253</v>
      </c>
      <c r="F3" s="53" t="s">
        <v>252</v>
      </c>
    </row>
    <row r="4" spans="2:6" ht="25" customHeight="1">
      <c r="B4" s="52" t="s">
        <v>479</v>
      </c>
      <c r="C4" s="53">
        <v>25</v>
      </c>
      <c r="D4" s="53">
        <v>26</v>
      </c>
      <c r="E4" s="53" t="s">
        <v>251</v>
      </c>
      <c r="F4" s="53" t="s">
        <v>250</v>
      </c>
    </row>
    <row r="5" spans="2:6" ht="25" customHeight="1">
      <c r="B5" s="52" t="s">
        <v>480</v>
      </c>
      <c r="C5" s="53">
        <v>15</v>
      </c>
      <c r="D5" s="53">
        <v>16</v>
      </c>
      <c r="E5" s="53" t="s">
        <v>249</v>
      </c>
      <c r="F5" s="53" t="s">
        <v>248</v>
      </c>
    </row>
    <row r="6" spans="2:6" ht="25" customHeight="1">
      <c r="B6" s="52" t="s">
        <v>481</v>
      </c>
      <c r="C6" s="53">
        <v>15</v>
      </c>
      <c r="D6" s="53">
        <v>16</v>
      </c>
      <c r="E6" s="53" t="s">
        <v>249</v>
      </c>
      <c r="F6" s="53" t="s">
        <v>248</v>
      </c>
    </row>
    <row r="7" spans="2:6" ht="25" customHeight="1"/>
    <row r="8" spans="2:6" ht="25" customHeight="1"/>
    <row r="9" spans="2:6" ht="25" customHeight="1"/>
    <row r="10" spans="2:6" ht="25" customHeight="1"/>
    <row r="11" spans="2:6" ht="25" customHeight="1"/>
    <row r="12" spans="2:6" ht="25" customHeight="1"/>
    <row r="13" spans="2:6" ht="25" customHeight="1"/>
    <row r="14" spans="2:6" ht="25" customHeight="1"/>
    <row r="15" spans="2:6" ht="25" customHeight="1"/>
    <row r="16" spans="2: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EBA2-3EAC-4846-9FF3-CAFAA944CD81}">
  <dimension ref="B1:U21"/>
  <sheetViews>
    <sheetView showGridLines="0" zoomScaleNormal="100" workbookViewId="0">
      <selection activeCell="I25" sqref="I25"/>
    </sheetView>
  </sheetViews>
  <sheetFormatPr baseColWidth="10" defaultColWidth="10.7109375" defaultRowHeight="18"/>
  <cols>
    <col min="1" max="1" width="10.7109375" style="1"/>
    <col min="2" max="2" width="13.42578125" style="1" bestFit="1" customWidth="1"/>
    <col min="3" max="3" width="7" style="1" bestFit="1" customWidth="1"/>
    <col min="4" max="4" width="10.140625" style="1" bestFit="1" customWidth="1"/>
    <col min="5" max="5" width="14.85546875" style="1" bestFit="1" customWidth="1"/>
    <col min="6" max="6" width="6.42578125" style="1" bestFit="1" customWidth="1"/>
    <col min="7" max="7" width="6.7109375" style="1" bestFit="1" customWidth="1"/>
    <col min="8" max="8" width="7.5703125" style="1" bestFit="1" customWidth="1"/>
    <col min="9" max="9" width="10.28515625" style="1" bestFit="1" customWidth="1"/>
    <col min="10" max="10" width="13.42578125" style="1" bestFit="1" customWidth="1"/>
    <col min="11" max="11" width="6.28515625" style="1" bestFit="1" customWidth="1"/>
    <col min="12" max="12" width="6.85546875" style="1" bestFit="1" customWidth="1"/>
    <col min="13" max="13" width="13.42578125" style="1" customWidth="1"/>
    <col min="14" max="14" width="10.7109375" style="1"/>
    <col min="15" max="15" width="15.7109375" style="1" bestFit="1" customWidth="1"/>
    <col min="16" max="16" width="11.7109375" style="1" bestFit="1" customWidth="1"/>
    <col min="17" max="17" width="8.28515625" style="1" bestFit="1" customWidth="1"/>
    <col min="18" max="18" width="8.5703125" style="1" bestFit="1" customWidth="1"/>
    <col min="19" max="19" width="5.140625" style="1" bestFit="1" customWidth="1"/>
    <col min="20" max="20" width="5.42578125" style="1" bestFit="1" customWidth="1"/>
    <col min="21" max="21" width="2.140625" style="1" customWidth="1"/>
    <col min="22" max="16384" width="10.7109375" style="1"/>
  </cols>
  <sheetData>
    <row r="1" spans="2:21">
      <c r="B1" s="1" t="s">
        <v>207</v>
      </c>
    </row>
    <row r="2" spans="2:21">
      <c r="B2" s="19" t="s">
        <v>194</v>
      </c>
      <c r="C2" s="19" t="s">
        <v>190</v>
      </c>
      <c r="D2" s="19" t="s">
        <v>193</v>
      </c>
      <c r="E2" s="19" t="s">
        <v>5</v>
      </c>
      <c r="F2" s="19" t="s">
        <v>183</v>
      </c>
      <c r="G2" s="20" t="s">
        <v>184</v>
      </c>
      <c r="H2" s="20" t="s">
        <v>195</v>
      </c>
      <c r="I2" s="20" t="s">
        <v>206</v>
      </c>
      <c r="J2" s="20" t="s">
        <v>205</v>
      </c>
      <c r="K2" s="20" t="s">
        <v>198</v>
      </c>
      <c r="L2" s="20" t="s">
        <v>208</v>
      </c>
      <c r="M2" s="20" t="s">
        <v>209</v>
      </c>
      <c r="O2" s="19" t="s">
        <v>181</v>
      </c>
      <c r="P2" s="19" t="s">
        <v>182</v>
      </c>
      <c r="Q2" s="19"/>
      <c r="R2" s="19"/>
      <c r="S2" s="19"/>
      <c r="T2" s="19"/>
      <c r="U2" s="14"/>
    </row>
    <row r="3" spans="2:21" ht="19">
      <c r="B3" s="14" t="s">
        <v>174</v>
      </c>
      <c r="C3" s="14" t="s">
        <v>191</v>
      </c>
      <c r="D3" s="22" t="s">
        <v>187</v>
      </c>
      <c r="E3" s="15" t="s">
        <v>6</v>
      </c>
      <c r="F3" s="14" t="s">
        <v>185</v>
      </c>
      <c r="G3" s="16">
        <v>498</v>
      </c>
      <c r="H3" s="14">
        <v>380</v>
      </c>
      <c r="I3" s="16">
        <f>$R$16</f>
        <v>1335</v>
      </c>
      <c r="J3" s="14">
        <f>$T$13</f>
        <v>511</v>
      </c>
      <c r="K3" s="17">
        <f>SUM(G3:J3)</f>
        <v>2724</v>
      </c>
      <c r="L3" s="21">
        <v>0.42</v>
      </c>
      <c r="M3" s="16">
        <f>ROUNDUP(K3/L3,-2)</f>
        <v>6500</v>
      </c>
      <c r="O3" s="16">
        <v>500</v>
      </c>
      <c r="P3" s="14">
        <v>800</v>
      </c>
      <c r="Q3" s="14"/>
      <c r="R3" s="14"/>
      <c r="S3" s="14"/>
      <c r="T3" s="14"/>
      <c r="U3" s="14"/>
    </row>
    <row r="4" spans="2:21" ht="19">
      <c r="B4" s="14" t="s">
        <v>174</v>
      </c>
      <c r="C4" s="14" t="s">
        <v>191</v>
      </c>
      <c r="D4" s="22" t="s">
        <v>187</v>
      </c>
      <c r="E4" s="15" t="s">
        <v>189</v>
      </c>
      <c r="F4" s="14" t="s">
        <v>185</v>
      </c>
      <c r="G4" s="16">
        <v>535</v>
      </c>
      <c r="H4" s="14">
        <v>380</v>
      </c>
      <c r="I4" s="16">
        <f>$R$16</f>
        <v>1335</v>
      </c>
      <c r="J4" s="14">
        <f>$T$13</f>
        <v>511</v>
      </c>
      <c r="K4" s="17">
        <f>SUM(G4:J4)</f>
        <v>2761</v>
      </c>
      <c r="L4" s="21">
        <v>0.42</v>
      </c>
      <c r="M4" s="16">
        <f>ROUNDUP(K4/L4,-2)</f>
        <v>6600</v>
      </c>
      <c r="O4" s="14"/>
      <c r="P4" s="14"/>
      <c r="Q4" s="14"/>
      <c r="R4" s="14"/>
      <c r="S4" s="14"/>
      <c r="T4" s="14"/>
      <c r="U4" s="14"/>
    </row>
    <row r="5" spans="2:21" ht="19">
      <c r="B5" s="14" t="s">
        <v>174</v>
      </c>
      <c r="C5" s="14" t="s">
        <v>191</v>
      </c>
      <c r="D5" s="22" t="s">
        <v>187</v>
      </c>
      <c r="E5" s="15" t="s">
        <v>6</v>
      </c>
      <c r="F5" s="14" t="s">
        <v>186</v>
      </c>
      <c r="G5" s="16">
        <v>620</v>
      </c>
      <c r="H5" s="14">
        <v>380</v>
      </c>
      <c r="I5" s="16">
        <f t="shared" ref="I5:I6" si="0">$R$16</f>
        <v>1335</v>
      </c>
      <c r="J5" s="14">
        <f t="shared" ref="J5:J10" si="1">$T$13</f>
        <v>511</v>
      </c>
      <c r="K5" s="17">
        <f t="shared" ref="K5:K10" si="2">SUM(G5:J5)</f>
        <v>2846</v>
      </c>
      <c r="L5" s="21">
        <v>0.42</v>
      </c>
      <c r="M5" s="16">
        <f>ROUNDUP(K5/L5,-2)</f>
        <v>6800</v>
      </c>
      <c r="O5" s="19" t="s">
        <v>200</v>
      </c>
      <c r="P5" s="19" t="s">
        <v>1</v>
      </c>
      <c r="Q5" s="19" t="s">
        <v>196</v>
      </c>
      <c r="R5" s="19" t="s">
        <v>198</v>
      </c>
      <c r="S5" s="19"/>
      <c r="T5" s="19"/>
      <c r="U5" s="14"/>
    </row>
    <row r="6" spans="2:21" ht="19">
      <c r="B6" s="14" t="s">
        <v>174</v>
      </c>
      <c r="C6" s="14" t="s">
        <v>191</v>
      </c>
      <c r="D6" s="22" t="s">
        <v>187</v>
      </c>
      <c r="E6" s="15" t="s">
        <v>189</v>
      </c>
      <c r="F6" s="14" t="s">
        <v>186</v>
      </c>
      <c r="G6" s="16">
        <v>705</v>
      </c>
      <c r="H6" s="14">
        <v>380</v>
      </c>
      <c r="I6" s="16">
        <f t="shared" si="0"/>
        <v>1335</v>
      </c>
      <c r="J6" s="14">
        <f t="shared" si="1"/>
        <v>511</v>
      </c>
      <c r="K6" s="17">
        <f t="shared" si="2"/>
        <v>2931</v>
      </c>
      <c r="L6" s="21">
        <v>0.42</v>
      </c>
      <c r="M6" s="16">
        <f t="shared" ref="M6" si="3">ROUNDUP(K6/L6,-2)</f>
        <v>7000</v>
      </c>
      <c r="O6" s="14" t="s">
        <v>199</v>
      </c>
      <c r="P6" s="16">
        <v>9000</v>
      </c>
      <c r="Q6" s="14">
        <v>600</v>
      </c>
      <c r="R6" s="14">
        <f>ROUNDUP(P6/Q6,0)</f>
        <v>15</v>
      </c>
      <c r="S6" s="14"/>
      <c r="T6" s="14"/>
      <c r="U6" s="14"/>
    </row>
    <row r="7" spans="2:21" ht="19">
      <c r="B7" s="14" t="s">
        <v>175</v>
      </c>
      <c r="C7" s="14" t="s">
        <v>191</v>
      </c>
      <c r="D7" s="22" t="s">
        <v>187</v>
      </c>
      <c r="E7" s="15" t="s">
        <v>6</v>
      </c>
      <c r="F7" s="14" t="s">
        <v>185</v>
      </c>
      <c r="G7" s="16">
        <v>498</v>
      </c>
      <c r="H7" s="14">
        <v>380</v>
      </c>
      <c r="I7" s="16">
        <f>$R$17</f>
        <v>1335</v>
      </c>
      <c r="J7" s="14">
        <f t="shared" si="1"/>
        <v>511</v>
      </c>
      <c r="K7" s="17">
        <f t="shared" si="2"/>
        <v>2724</v>
      </c>
      <c r="L7" s="21">
        <v>0.42</v>
      </c>
      <c r="M7" s="16">
        <f t="shared" ref="M7:M11" si="4">ROUNDUP(K7/L7,-2)</f>
        <v>6500</v>
      </c>
      <c r="O7" s="14" t="s">
        <v>197</v>
      </c>
      <c r="P7" s="16">
        <v>12000</v>
      </c>
      <c r="Q7" s="14">
        <v>600</v>
      </c>
      <c r="R7" s="14">
        <f>ROUNDUP(P7/Q7,0)</f>
        <v>20</v>
      </c>
      <c r="S7" s="14"/>
      <c r="T7" s="14"/>
      <c r="U7" s="14"/>
    </row>
    <row r="8" spans="2:21" ht="19">
      <c r="B8" s="14" t="s">
        <v>175</v>
      </c>
      <c r="C8" s="14" t="s">
        <v>191</v>
      </c>
      <c r="D8" s="22" t="s">
        <v>187</v>
      </c>
      <c r="E8" s="15" t="s">
        <v>189</v>
      </c>
      <c r="F8" s="14" t="s">
        <v>185</v>
      </c>
      <c r="G8" s="16">
        <v>535</v>
      </c>
      <c r="H8" s="14">
        <v>380</v>
      </c>
      <c r="I8" s="16">
        <f>$R$17</f>
        <v>1335</v>
      </c>
      <c r="J8" s="14">
        <f t="shared" si="1"/>
        <v>511</v>
      </c>
      <c r="K8" s="17">
        <f t="shared" si="2"/>
        <v>2761</v>
      </c>
      <c r="L8" s="21">
        <v>0.42</v>
      </c>
      <c r="M8" s="16">
        <f t="shared" si="4"/>
        <v>6600</v>
      </c>
      <c r="O8" s="14"/>
      <c r="P8" s="14"/>
      <c r="Q8" s="14"/>
      <c r="R8" s="14"/>
      <c r="S8" s="14"/>
      <c r="T8" s="14"/>
      <c r="U8" s="14"/>
    </row>
    <row r="9" spans="2:21" ht="19">
      <c r="B9" s="14" t="s">
        <v>175</v>
      </c>
      <c r="C9" s="14" t="s">
        <v>191</v>
      </c>
      <c r="D9" s="22" t="s">
        <v>187</v>
      </c>
      <c r="E9" s="15" t="s">
        <v>6</v>
      </c>
      <c r="F9" s="14" t="s">
        <v>186</v>
      </c>
      <c r="G9" s="16">
        <v>620</v>
      </c>
      <c r="H9" s="14">
        <v>380</v>
      </c>
      <c r="I9" s="16">
        <f t="shared" ref="I9:I10" si="5">$R$17</f>
        <v>1335</v>
      </c>
      <c r="J9" s="14">
        <f t="shared" si="1"/>
        <v>511</v>
      </c>
      <c r="K9" s="17">
        <f t="shared" si="2"/>
        <v>2846</v>
      </c>
      <c r="L9" s="21">
        <v>0.42</v>
      </c>
      <c r="M9" s="16">
        <f t="shared" si="4"/>
        <v>6800</v>
      </c>
      <c r="O9" s="19" t="s">
        <v>201</v>
      </c>
      <c r="P9" s="19" t="s">
        <v>1</v>
      </c>
      <c r="Q9" s="19" t="s">
        <v>196</v>
      </c>
      <c r="R9" s="19" t="s">
        <v>512</v>
      </c>
      <c r="S9" s="19" t="s">
        <v>2</v>
      </c>
      <c r="T9" s="19" t="s">
        <v>198</v>
      </c>
      <c r="U9" s="19"/>
    </row>
    <row r="10" spans="2:21" ht="19">
      <c r="B10" s="14" t="s">
        <v>175</v>
      </c>
      <c r="C10" s="14" t="s">
        <v>191</v>
      </c>
      <c r="D10" s="22" t="s">
        <v>187</v>
      </c>
      <c r="E10" s="15" t="s">
        <v>189</v>
      </c>
      <c r="F10" s="14" t="s">
        <v>186</v>
      </c>
      <c r="G10" s="16">
        <v>705</v>
      </c>
      <c r="H10" s="14">
        <v>380</v>
      </c>
      <c r="I10" s="16">
        <f t="shared" si="5"/>
        <v>1335</v>
      </c>
      <c r="J10" s="14">
        <f t="shared" si="1"/>
        <v>511</v>
      </c>
      <c r="K10" s="17">
        <f t="shared" si="2"/>
        <v>2931</v>
      </c>
      <c r="L10" s="21">
        <v>0.42</v>
      </c>
      <c r="M10" s="16">
        <f t="shared" si="4"/>
        <v>7000</v>
      </c>
      <c r="O10" s="14" t="s">
        <v>202</v>
      </c>
      <c r="P10" s="16">
        <v>61500</v>
      </c>
      <c r="Q10" s="14">
        <v>600</v>
      </c>
      <c r="R10" s="14">
        <f>ROUNDUP(P10/Q10,0)</f>
        <v>103</v>
      </c>
      <c r="S10" s="14">
        <v>240</v>
      </c>
      <c r="T10" s="14">
        <f>R10+S10</f>
        <v>343</v>
      </c>
      <c r="U10" s="14"/>
    </row>
    <row r="11" spans="2:21" ht="19">
      <c r="B11" s="14" t="s">
        <v>177</v>
      </c>
      <c r="C11" s="14" t="s">
        <v>192</v>
      </c>
      <c r="D11" s="23">
        <v>561801</v>
      </c>
      <c r="E11" s="14"/>
      <c r="F11" s="14" t="s">
        <v>185</v>
      </c>
      <c r="G11" s="16">
        <v>1980</v>
      </c>
      <c r="H11" s="14">
        <v>380</v>
      </c>
      <c r="I11" s="16">
        <f>$R$17</f>
        <v>1335</v>
      </c>
      <c r="J11" s="14">
        <f>$T$13</f>
        <v>511</v>
      </c>
      <c r="K11" s="17">
        <f>SUM(G11:J11)</f>
        <v>4206</v>
      </c>
      <c r="L11" s="21">
        <v>0.42</v>
      </c>
      <c r="M11" s="16">
        <f t="shared" si="4"/>
        <v>10100</v>
      </c>
      <c r="O11" s="14" t="s">
        <v>203</v>
      </c>
      <c r="P11" s="16">
        <v>23000</v>
      </c>
      <c r="Q11" s="14">
        <v>600</v>
      </c>
      <c r="R11" s="14">
        <f t="shared" ref="R11:R12" si="6">ROUNDUP(P11/Q11,0)</f>
        <v>39</v>
      </c>
      <c r="S11" s="14">
        <v>45</v>
      </c>
      <c r="T11" s="14">
        <f t="shared" ref="T11:T12" si="7">R11+S11</f>
        <v>84</v>
      </c>
      <c r="U11" s="14"/>
    </row>
    <row r="12" spans="2:21">
      <c r="O12" s="14" t="s">
        <v>204</v>
      </c>
      <c r="P12" s="16">
        <v>23000</v>
      </c>
      <c r="Q12" s="14">
        <v>600</v>
      </c>
      <c r="R12" s="14">
        <f t="shared" si="6"/>
        <v>39</v>
      </c>
      <c r="S12" s="14">
        <v>45</v>
      </c>
      <c r="T12" s="14">
        <f t="shared" si="7"/>
        <v>84</v>
      </c>
      <c r="U12" s="14"/>
    </row>
    <row r="13" spans="2:21" ht="19">
      <c r="D13" s="13"/>
      <c r="O13" s="14"/>
      <c r="P13" s="14"/>
      <c r="Q13" s="14"/>
      <c r="R13" s="14"/>
      <c r="S13" s="14" t="s">
        <v>3</v>
      </c>
      <c r="T13" s="14">
        <f>SUM(T10:T12)</f>
        <v>511</v>
      </c>
      <c r="U13" s="14"/>
    </row>
    <row r="14" spans="2:21" ht="19">
      <c r="B14" s="14" t="s">
        <v>174</v>
      </c>
      <c r="C14" s="14" t="s">
        <v>191</v>
      </c>
      <c r="D14" s="23" t="s">
        <v>188</v>
      </c>
      <c r="E14" s="15" t="s">
        <v>6</v>
      </c>
      <c r="F14" s="14" t="s">
        <v>185</v>
      </c>
      <c r="G14" s="16">
        <v>728</v>
      </c>
      <c r="H14" s="14">
        <v>380</v>
      </c>
      <c r="I14" s="16">
        <f>$R$16</f>
        <v>1335</v>
      </c>
      <c r="J14" s="14">
        <f>$T$13</f>
        <v>511</v>
      </c>
      <c r="K14" s="17">
        <f>SUM(G14:J14)</f>
        <v>2954</v>
      </c>
      <c r="L14" s="21">
        <v>0.42</v>
      </c>
      <c r="M14" s="16">
        <f>ROUNDUP(K14/L14,-2)</f>
        <v>7100</v>
      </c>
      <c r="O14" s="14"/>
      <c r="P14" s="14"/>
      <c r="Q14" s="14"/>
      <c r="R14" s="14"/>
      <c r="S14" s="14"/>
      <c r="T14" s="14"/>
      <c r="U14" s="14"/>
    </row>
    <row r="15" spans="2:21" ht="19">
      <c r="B15" s="14" t="s">
        <v>174</v>
      </c>
      <c r="C15" s="14" t="s">
        <v>191</v>
      </c>
      <c r="D15" s="23" t="s">
        <v>188</v>
      </c>
      <c r="E15" s="15" t="s">
        <v>189</v>
      </c>
      <c r="F15" s="14" t="s">
        <v>185</v>
      </c>
      <c r="G15" s="16">
        <v>775</v>
      </c>
      <c r="H15" s="14">
        <v>380</v>
      </c>
      <c r="I15" s="16">
        <f>$R$16</f>
        <v>1335</v>
      </c>
      <c r="J15" s="14">
        <f>$T$13</f>
        <v>511</v>
      </c>
      <c r="K15" s="17">
        <f>SUM(G15:J15)</f>
        <v>3001</v>
      </c>
      <c r="L15" s="21">
        <v>0.42</v>
      </c>
      <c r="M15" s="16">
        <f>ROUNDUP(K15/L15,-2)</f>
        <v>7200</v>
      </c>
      <c r="O15" s="19" t="s">
        <v>194</v>
      </c>
      <c r="P15" s="19" t="s">
        <v>206</v>
      </c>
      <c r="Q15" s="19" t="s">
        <v>180</v>
      </c>
      <c r="R15" s="19" t="s">
        <v>3</v>
      </c>
      <c r="S15" s="19"/>
      <c r="T15" s="19"/>
      <c r="U15" s="14"/>
    </row>
    <row r="16" spans="2:21" ht="19">
      <c r="B16" s="14" t="s">
        <v>174</v>
      </c>
      <c r="C16" s="14" t="s">
        <v>191</v>
      </c>
      <c r="D16" s="23" t="s">
        <v>188</v>
      </c>
      <c r="E16" s="15" t="s">
        <v>6</v>
      </c>
      <c r="F16" s="14" t="s">
        <v>186</v>
      </c>
      <c r="G16" s="16">
        <v>925</v>
      </c>
      <c r="H16" s="14"/>
      <c r="I16" s="14"/>
      <c r="J16" s="14"/>
      <c r="K16" s="17"/>
      <c r="L16" s="21"/>
      <c r="M16" s="16"/>
      <c r="O16" s="14" t="s">
        <v>174</v>
      </c>
      <c r="P16" s="14">
        <f>R6+R7</f>
        <v>35</v>
      </c>
      <c r="Q16" s="16">
        <f>$O$3+$P$3</f>
        <v>1300</v>
      </c>
      <c r="R16" s="16">
        <f>SUM(P16:Q16)</f>
        <v>1335</v>
      </c>
      <c r="S16" s="14"/>
      <c r="T16" s="14"/>
      <c r="U16" s="14"/>
    </row>
    <row r="17" spans="2:21" ht="19">
      <c r="B17" s="14" t="s">
        <v>174</v>
      </c>
      <c r="C17" s="14" t="s">
        <v>191</v>
      </c>
      <c r="D17" s="23" t="s">
        <v>188</v>
      </c>
      <c r="E17" s="15" t="s">
        <v>189</v>
      </c>
      <c r="F17" s="14" t="s">
        <v>186</v>
      </c>
      <c r="G17" s="16">
        <v>1018</v>
      </c>
      <c r="H17" s="14"/>
      <c r="I17" s="14"/>
      <c r="J17" s="14"/>
      <c r="K17" s="17"/>
      <c r="L17" s="21"/>
      <c r="M17" s="16"/>
      <c r="O17" s="14" t="s">
        <v>175</v>
      </c>
      <c r="P17" s="14">
        <f>$R$6+$R$7</f>
        <v>35</v>
      </c>
      <c r="Q17" s="16">
        <f>$O$3+$P$3</f>
        <v>1300</v>
      </c>
      <c r="R17" s="16">
        <f>SUM(P17:Q17)</f>
        <v>1335</v>
      </c>
      <c r="S17" s="14"/>
      <c r="T17" s="14"/>
      <c r="U17" s="14"/>
    </row>
    <row r="18" spans="2:21" ht="19">
      <c r="B18" s="14" t="s">
        <v>175</v>
      </c>
      <c r="C18" s="14" t="s">
        <v>191</v>
      </c>
      <c r="D18" s="23" t="s">
        <v>188</v>
      </c>
      <c r="E18" s="15" t="s">
        <v>6</v>
      </c>
      <c r="F18" s="14" t="s">
        <v>185</v>
      </c>
      <c r="G18" s="16">
        <v>728</v>
      </c>
      <c r="H18" s="14">
        <v>380</v>
      </c>
      <c r="I18" s="16">
        <f>$R$17</f>
        <v>1335</v>
      </c>
      <c r="J18" s="14">
        <f>$T$13</f>
        <v>511</v>
      </c>
      <c r="K18" s="17">
        <f>SUM(G18:J18)</f>
        <v>2954</v>
      </c>
      <c r="L18" s="21">
        <v>0.42</v>
      </c>
      <c r="M18" s="16">
        <f>ROUNDUP(K18/L18,-2)</f>
        <v>7100</v>
      </c>
      <c r="O18" s="14" t="s">
        <v>176</v>
      </c>
      <c r="P18" s="14">
        <f>$R$6+$R$7</f>
        <v>35</v>
      </c>
      <c r="Q18" s="16">
        <f>$O$3+$P$3</f>
        <v>1300</v>
      </c>
      <c r="R18" s="16">
        <f>SUM(P18:Q18)</f>
        <v>1335</v>
      </c>
      <c r="S18" s="14"/>
      <c r="T18" s="14"/>
      <c r="U18" s="14"/>
    </row>
    <row r="19" spans="2:21" ht="19">
      <c r="B19" s="14" t="s">
        <v>175</v>
      </c>
      <c r="C19" s="14" t="s">
        <v>191</v>
      </c>
      <c r="D19" s="23" t="s">
        <v>188</v>
      </c>
      <c r="E19" s="15" t="s">
        <v>189</v>
      </c>
      <c r="F19" s="14" t="s">
        <v>185</v>
      </c>
      <c r="G19" s="16">
        <v>775</v>
      </c>
      <c r="H19" s="14">
        <v>380</v>
      </c>
      <c r="I19" s="16">
        <f>$R$17</f>
        <v>1335</v>
      </c>
      <c r="J19" s="14">
        <f>$T$13</f>
        <v>511</v>
      </c>
      <c r="K19" s="17">
        <f>SUM(G19:J19)</f>
        <v>3001</v>
      </c>
      <c r="L19" s="21">
        <v>0.42</v>
      </c>
      <c r="M19" s="16">
        <f>ROUNDUP(K19/L19,-2)</f>
        <v>7200</v>
      </c>
    </row>
    <row r="20" spans="2:21" ht="19">
      <c r="B20" s="14" t="s">
        <v>175</v>
      </c>
      <c r="C20" s="14" t="s">
        <v>191</v>
      </c>
      <c r="D20" s="23" t="s">
        <v>188</v>
      </c>
      <c r="E20" s="15" t="s">
        <v>6</v>
      </c>
      <c r="F20" s="14" t="s">
        <v>186</v>
      </c>
      <c r="G20" s="16">
        <v>925</v>
      </c>
      <c r="H20" s="14"/>
      <c r="I20" s="14"/>
      <c r="J20" s="14"/>
      <c r="K20" s="18"/>
      <c r="L20" s="21"/>
      <c r="M20" s="16"/>
    </row>
    <row r="21" spans="2:21" ht="19">
      <c r="B21" s="14" t="s">
        <v>175</v>
      </c>
      <c r="C21" s="14" t="s">
        <v>191</v>
      </c>
      <c r="D21" s="23" t="s">
        <v>188</v>
      </c>
      <c r="E21" s="15" t="s">
        <v>189</v>
      </c>
      <c r="F21" s="14" t="s">
        <v>186</v>
      </c>
      <c r="G21" s="16">
        <v>1018</v>
      </c>
      <c r="H21" s="14"/>
      <c r="I21" s="14"/>
      <c r="J21" s="14"/>
      <c r="K21" s="18"/>
      <c r="L21" s="21"/>
      <c r="M21" s="16"/>
    </row>
  </sheetData>
  <phoneticPr fontId="3"/>
  <pageMargins left="0.7" right="0.7" top="0.75" bottom="0.75" header="0.3" footer="0.3"/>
  <pageSetup paperSize="256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5302-03BB-9144-85CB-05D34B79B0E1}">
  <dimension ref="B1:L42"/>
  <sheetViews>
    <sheetView workbookViewId="0">
      <selection activeCell="C42" sqref="C42"/>
    </sheetView>
  </sheetViews>
  <sheetFormatPr baseColWidth="10" defaultColWidth="11.5703125" defaultRowHeight="18"/>
  <cols>
    <col min="1" max="1" width="11.5703125" style="1"/>
    <col min="2" max="2" width="3.42578125" style="1" bestFit="1" customWidth="1"/>
    <col min="3" max="3" width="16.140625" style="1" bestFit="1" customWidth="1"/>
    <col min="4" max="4" width="16.140625" style="1" customWidth="1"/>
    <col min="5" max="5" width="11.5703125" style="1"/>
    <col min="6" max="6" width="13" style="1" bestFit="1" customWidth="1"/>
    <col min="7" max="7" width="11.5703125" style="1"/>
    <col min="8" max="8" width="18" style="1" bestFit="1" customWidth="1"/>
    <col min="9" max="9" width="16.140625" style="1" bestFit="1" customWidth="1"/>
    <col min="10" max="10" width="14.42578125" style="1" bestFit="1" customWidth="1"/>
    <col min="11" max="11" width="20.85546875" style="1" bestFit="1" customWidth="1"/>
    <col min="12" max="12" width="20.42578125" style="1" bestFit="1" customWidth="1"/>
    <col min="13" max="16384" width="11.5703125" style="1"/>
  </cols>
  <sheetData>
    <row r="1" spans="2:12" ht="25" customHeight="1"/>
    <row r="2" spans="2:12" ht="25" customHeight="1">
      <c r="B2" s="54" t="s">
        <v>40</v>
      </c>
      <c r="C2" s="55" t="s">
        <v>41</v>
      </c>
      <c r="D2" s="55" t="s">
        <v>169</v>
      </c>
      <c r="E2" s="54" t="s">
        <v>42</v>
      </c>
      <c r="F2" s="55" t="s">
        <v>43</v>
      </c>
      <c r="G2" s="56" t="s">
        <v>258</v>
      </c>
      <c r="H2" s="54" t="s">
        <v>44</v>
      </c>
      <c r="I2" s="57" t="s">
        <v>45</v>
      </c>
      <c r="J2" s="57" t="s">
        <v>46</v>
      </c>
      <c r="K2" s="57" t="s">
        <v>47</v>
      </c>
      <c r="L2" s="55" t="s">
        <v>48</v>
      </c>
    </row>
    <row r="3" spans="2:12" ht="25" customHeight="1">
      <c r="B3" s="58">
        <v>1</v>
      </c>
      <c r="C3" s="59" t="s">
        <v>13</v>
      </c>
      <c r="D3" s="59" t="s">
        <v>170</v>
      </c>
      <c r="E3" s="60" t="s">
        <v>49</v>
      </c>
      <c r="F3" s="61" t="s">
        <v>50</v>
      </c>
      <c r="G3" s="62" t="s">
        <v>141</v>
      </c>
      <c r="H3" s="62"/>
      <c r="I3" s="62"/>
      <c r="J3" s="62"/>
      <c r="K3" s="62"/>
      <c r="L3" s="63" t="str">
        <f>$G3&amp;"："&amp;$C3</f>
        <v>000：WHITE</v>
      </c>
    </row>
    <row r="4" spans="2:12" ht="25" customHeight="1">
      <c r="B4" s="58">
        <v>2</v>
      </c>
      <c r="C4" s="59" t="s">
        <v>168</v>
      </c>
      <c r="D4" s="59" t="s">
        <v>171</v>
      </c>
      <c r="E4" s="60" t="s">
        <v>49</v>
      </c>
      <c r="F4" s="61" t="s">
        <v>51</v>
      </c>
      <c r="G4" s="62" t="s">
        <v>140</v>
      </c>
      <c r="H4" s="62"/>
      <c r="I4" s="64"/>
      <c r="J4" s="62"/>
      <c r="K4" s="62"/>
      <c r="L4" s="63" t="str">
        <f t="shared" ref="L4:L33" si="0">$G4&amp;"："&amp;$C4</f>
        <v>001：BLACK</v>
      </c>
    </row>
    <row r="5" spans="2:12" ht="25" customHeight="1">
      <c r="B5" s="58">
        <v>3</v>
      </c>
      <c r="C5" s="59" t="s">
        <v>52</v>
      </c>
      <c r="D5" s="59" t="s">
        <v>270</v>
      </c>
      <c r="E5" s="60" t="s">
        <v>53</v>
      </c>
      <c r="F5" s="61" t="s">
        <v>54</v>
      </c>
      <c r="G5" s="62" t="s">
        <v>142</v>
      </c>
      <c r="H5" s="62"/>
      <c r="I5" s="62"/>
      <c r="J5" s="62"/>
      <c r="K5" s="62"/>
      <c r="L5" s="63" t="str">
        <f t="shared" si="0"/>
        <v>002：ネイビーブルー</v>
      </c>
    </row>
    <row r="6" spans="2:12" ht="25" customHeight="1">
      <c r="B6" s="58">
        <v>4</v>
      </c>
      <c r="C6" s="59" t="s">
        <v>55</v>
      </c>
      <c r="D6" s="59" t="s">
        <v>271</v>
      </c>
      <c r="E6" s="65" t="s">
        <v>56</v>
      </c>
      <c r="F6" s="66" t="s">
        <v>57</v>
      </c>
      <c r="G6" s="62" t="s">
        <v>143</v>
      </c>
      <c r="H6" s="62"/>
      <c r="I6" s="62"/>
      <c r="J6" s="62"/>
      <c r="K6" s="62"/>
      <c r="L6" s="63" t="str">
        <f t="shared" si="0"/>
        <v>003：サンセットレッド</v>
      </c>
    </row>
    <row r="7" spans="2:12" ht="25" customHeight="1">
      <c r="B7" s="58">
        <v>5</v>
      </c>
      <c r="C7" s="59" t="s">
        <v>58</v>
      </c>
      <c r="D7" s="59" t="s">
        <v>272</v>
      </c>
      <c r="E7" s="60" t="s">
        <v>59</v>
      </c>
      <c r="F7" s="61" t="s">
        <v>60</v>
      </c>
      <c r="G7" s="62" t="s">
        <v>144</v>
      </c>
      <c r="H7" s="62"/>
      <c r="I7" s="62"/>
      <c r="J7" s="62"/>
      <c r="K7" s="62"/>
      <c r="L7" s="63" t="str">
        <f t="shared" si="0"/>
        <v>004：アイスグレー</v>
      </c>
    </row>
    <row r="8" spans="2:12" ht="25" customHeight="1">
      <c r="B8" s="58">
        <v>6</v>
      </c>
      <c r="C8" s="59" t="s">
        <v>61</v>
      </c>
      <c r="D8" s="59"/>
      <c r="E8" s="60" t="s">
        <v>62</v>
      </c>
      <c r="F8" s="61" t="s">
        <v>63</v>
      </c>
      <c r="G8" s="62" t="s">
        <v>145</v>
      </c>
      <c r="H8" s="62"/>
      <c r="I8" s="64"/>
      <c r="J8" s="62"/>
      <c r="K8" s="62"/>
      <c r="L8" s="63" t="str">
        <f t="shared" si="0"/>
        <v>005：ブラストブルー</v>
      </c>
    </row>
    <row r="9" spans="2:12" ht="25" customHeight="1">
      <c r="B9" s="58">
        <v>7</v>
      </c>
      <c r="C9" s="59" t="s">
        <v>64</v>
      </c>
      <c r="D9" s="59"/>
      <c r="E9" s="60" t="s">
        <v>65</v>
      </c>
      <c r="F9" s="61" t="s">
        <v>66</v>
      </c>
      <c r="G9" s="62" t="s">
        <v>146</v>
      </c>
      <c r="H9" s="62"/>
      <c r="I9" s="62"/>
      <c r="J9" s="62"/>
      <c r="K9" s="62"/>
      <c r="L9" s="63" t="str">
        <f t="shared" si="0"/>
        <v>006：ディープシー</v>
      </c>
    </row>
    <row r="10" spans="2:12" ht="25" customHeight="1">
      <c r="B10" s="58">
        <v>8</v>
      </c>
      <c r="C10" s="59" t="s">
        <v>68</v>
      </c>
      <c r="D10" s="59"/>
      <c r="E10" s="65" t="s">
        <v>69</v>
      </c>
      <c r="F10" s="66" t="s">
        <v>70</v>
      </c>
      <c r="G10" s="62" t="s">
        <v>147</v>
      </c>
      <c r="H10" s="62"/>
      <c r="I10" s="62"/>
      <c r="J10" s="62"/>
      <c r="K10" s="62"/>
      <c r="L10" s="63" t="str">
        <f t="shared" si="0"/>
        <v>007：バイオレット</v>
      </c>
    </row>
    <row r="11" spans="2:12" ht="25" customHeight="1">
      <c r="B11" s="58">
        <v>9</v>
      </c>
      <c r="C11" s="61" t="s">
        <v>71</v>
      </c>
      <c r="D11" s="61"/>
      <c r="E11" s="60" t="s">
        <v>72</v>
      </c>
      <c r="F11" s="61" t="s">
        <v>73</v>
      </c>
      <c r="G11" s="62" t="s">
        <v>148</v>
      </c>
      <c r="H11" s="62"/>
      <c r="I11" s="64"/>
      <c r="J11" s="62"/>
      <c r="K11" s="62"/>
      <c r="L11" s="63" t="str">
        <f t="shared" si="0"/>
        <v>008：スモークミント</v>
      </c>
    </row>
    <row r="12" spans="2:12" ht="25" customHeight="1">
      <c r="B12" s="58">
        <v>10</v>
      </c>
      <c r="C12" s="59" t="s">
        <v>74</v>
      </c>
      <c r="D12" s="59"/>
      <c r="E12" s="65" t="s">
        <v>75</v>
      </c>
      <c r="F12" s="66" t="s">
        <v>76</v>
      </c>
      <c r="G12" s="62" t="s">
        <v>149</v>
      </c>
      <c r="H12" s="62"/>
      <c r="I12" s="64"/>
      <c r="J12" s="62"/>
      <c r="K12" s="62"/>
      <c r="L12" s="63" t="str">
        <f t="shared" si="0"/>
        <v>009：クリアーレッド</v>
      </c>
    </row>
    <row r="13" spans="2:12" ht="25" customHeight="1">
      <c r="B13" s="58">
        <v>11</v>
      </c>
      <c r="C13" s="59" t="s">
        <v>77</v>
      </c>
      <c r="D13" s="59"/>
      <c r="E13" s="65" t="s">
        <v>78</v>
      </c>
      <c r="F13" s="66" t="s">
        <v>79</v>
      </c>
      <c r="G13" s="62" t="s">
        <v>150</v>
      </c>
      <c r="H13" s="62"/>
      <c r="I13" s="62"/>
      <c r="J13" s="62"/>
      <c r="K13" s="62"/>
      <c r="L13" s="63" t="str">
        <f t="shared" si="0"/>
        <v>010：シトラスオレンジ</v>
      </c>
    </row>
    <row r="14" spans="2:12" ht="25" customHeight="1">
      <c r="B14" s="58">
        <v>12</v>
      </c>
      <c r="C14" s="59" t="s">
        <v>80</v>
      </c>
      <c r="D14" s="59"/>
      <c r="E14" s="65" t="s">
        <v>81</v>
      </c>
      <c r="F14" s="66" t="s">
        <v>82</v>
      </c>
      <c r="G14" s="62" t="s">
        <v>151</v>
      </c>
      <c r="H14" s="62"/>
      <c r="I14" s="64"/>
      <c r="J14" s="62"/>
      <c r="K14" s="62"/>
      <c r="L14" s="63" t="str">
        <f t="shared" si="0"/>
        <v>011：オレンジブラウン</v>
      </c>
    </row>
    <row r="15" spans="2:12" ht="25" customHeight="1">
      <c r="B15" s="58">
        <v>13</v>
      </c>
      <c r="C15" s="59" t="s">
        <v>83</v>
      </c>
      <c r="D15" s="59"/>
      <c r="E15" s="65" t="s">
        <v>84</v>
      </c>
      <c r="F15" s="66" t="s">
        <v>85</v>
      </c>
      <c r="G15" s="62" t="s">
        <v>152</v>
      </c>
      <c r="H15" s="62"/>
      <c r="I15" s="62"/>
      <c r="J15" s="62"/>
      <c r="K15" s="62"/>
      <c r="L15" s="63" t="str">
        <f t="shared" si="0"/>
        <v>012：パステルグリーン</v>
      </c>
    </row>
    <row r="16" spans="2:12" ht="25" customHeight="1">
      <c r="B16" s="58">
        <v>14</v>
      </c>
      <c r="C16" s="59" t="s">
        <v>86</v>
      </c>
      <c r="D16" s="59"/>
      <c r="E16" s="65" t="s">
        <v>87</v>
      </c>
      <c r="F16" s="66" t="s">
        <v>88</v>
      </c>
      <c r="G16" s="62" t="s">
        <v>153</v>
      </c>
      <c r="H16" s="62"/>
      <c r="I16" s="64"/>
      <c r="J16" s="62"/>
      <c r="K16" s="62"/>
      <c r="L16" s="63" t="str">
        <f t="shared" si="0"/>
        <v>013：パステルピンク</v>
      </c>
    </row>
    <row r="17" spans="2:12" ht="25" customHeight="1">
      <c r="B17" s="58">
        <v>15</v>
      </c>
      <c r="C17" s="59" t="s">
        <v>89</v>
      </c>
      <c r="D17" s="59"/>
      <c r="E17" s="65" t="s">
        <v>90</v>
      </c>
      <c r="F17" s="66" t="s">
        <v>91</v>
      </c>
      <c r="G17" s="62" t="s">
        <v>154</v>
      </c>
      <c r="H17" s="62"/>
      <c r="I17" s="62"/>
      <c r="J17" s="62"/>
      <c r="K17" s="62"/>
      <c r="L17" s="63" t="str">
        <f t="shared" si="0"/>
        <v>014：チョコレート</v>
      </c>
    </row>
    <row r="18" spans="2:12" ht="25" customHeight="1">
      <c r="B18" s="58">
        <v>16</v>
      </c>
      <c r="C18" s="59" t="s">
        <v>92</v>
      </c>
      <c r="D18" s="59"/>
      <c r="E18" s="60" t="s">
        <v>93</v>
      </c>
      <c r="F18" s="61" t="s">
        <v>94</v>
      </c>
      <c r="G18" s="62" t="s">
        <v>155</v>
      </c>
      <c r="H18" s="62"/>
      <c r="I18" s="64"/>
      <c r="J18" s="62"/>
      <c r="K18" s="62"/>
      <c r="L18" s="63" t="str">
        <f t="shared" si="0"/>
        <v>015：サファイヤネイビー</v>
      </c>
    </row>
    <row r="19" spans="2:12" ht="25" customHeight="1">
      <c r="B19" s="58">
        <v>17</v>
      </c>
      <c r="C19" s="59" t="s">
        <v>95</v>
      </c>
      <c r="D19" s="59"/>
      <c r="E19" s="65" t="s">
        <v>96</v>
      </c>
      <c r="F19" s="66" t="s">
        <v>97</v>
      </c>
      <c r="G19" s="62" t="s">
        <v>156</v>
      </c>
      <c r="H19" s="62"/>
      <c r="I19" s="64"/>
      <c r="J19" s="62"/>
      <c r="K19" s="62"/>
      <c r="L19" s="63" t="str">
        <f t="shared" si="0"/>
        <v>016：ダークネイビー</v>
      </c>
    </row>
    <row r="20" spans="2:12" ht="25" customHeight="1">
      <c r="B20" s="58">
        <v>18</v>
      </c>
      <c r="C20" s="59" t="s">
        <v>98</v>
      </c>
      <c r="D20" s="59"/>
      <c r="E20" s="65" t="s">
        <v>99</v>
      </c>
      <c r="F20" s="66" t="s">
        <v>100</v>
      </c>
      <c r="G20" s="62" t="s">
        <v>157</v>
      </c>
      <c r="H20" s="62"/>
      <c r="I20" s="62"/>
      <c r="J20" s="62"/>
      <c r="K20" s="62"/>
      <c r="L20" s="63" t="str">
        <f t="shared" si="0"/>
        <v>017：レンガ</v>
      </c>
    </row>
    <row r="21" spans="2:12" ht="25" customHeight="1">
      <c r="B21" s="58">
        <v>19</v>
      </c>
      <c r="C21" s="59" t="s">
        <v>101</v>
      </c>
      <c r="D21" s="59"/>
      <c r="E21" s="65" t="s">
        <v>102</v>
      </c>
      <c r="F21" s="66" t="s">
        <v>103</v>
      </c>
      <c r="G21" s="62" t="s">
        <v>158</v>
      </c>
      <c r="H21" s="62"/>
      <c r="I21" s="64"/>
      <c r="J21" s="62"/>
      <c r="K21" s="62"/>
      <c r="L21" s="63" t="str">
        <f t="shared" si="0"/>
        <v>018：ディープパープル</v>
      </c>
    </row>
    <row r="22" spans="2:12" ht="25" customHeight="1">
      <c r="B22" s="58">
        <v>20</v>
      </c>
      <c r="C22" s="59" t="s">
        <v>104</v>
      </c>
      <c r="D22" s="59"/>
      <c r="E22" s="60" t="s">
        <v>105</v>
      </c>
      <c r="F22" s="61" t="s">
        <v>106</v>
      </c>
      <c r="G22" s="62" t="s">
        <v>159</v>
      </c>
      <c r="H22" s="62"/>
      <c r="I22" s="62"/>
      <c r="J22" s="62"/>
      <c r="K22" s="62"/>
      <c r="L22" s="63" t="str">
        <f t="shared" si="0"/>
        <v>019：ボルドー</v>
      </c>
    </row>
    <row r="23" spans="2:12" ht="25" customHeight="1">
      <c r="B23" s="58">
        <v>21</v>
      </c>
      <c r="C23" s="59" t="s">
        <v>107</v>
      </c>
      <c r="D23" s="59"/>
      <c r="E23" s="65" t="s">
        <v>108</v>
      </c>
      <c r="F23" s="66" t="s">
        <v>109</v>
      </c>
      <c r="G23" s="62" t="s">
        <v>160</v>
      </c>
      <c r="H23" s="62"/>
      <c r="I23" s="64"/>
      <c r="J23" s="62"/>
      <c r="K23" s="62"/>
      <c r="L23" s="63" t="str">
        <f t="shared" si="0"/>
        <v>020：マリンブルー</v>
      </c>
    </row>
    <row r="24" spans="2:12" ht="25" customHeight="1">
      <c r="B24" s="58">
        <v>22</v>
      </c>
      <c r="C24" s="59" t="s">
        <v>110</v>
      </c>
      <c r="D24" s="59"/>
      <c r="E24" s="65" t="s">
        <v>111</v>
      </c>
      <c r="F24" s="66" t="s">
        <v>112</v>
      </c>
      <c r="G24" s="62" t="s">
        <v>161</v>
      </c>
      <c r="H24" s="62"/>
      <c r="I24" s="62"/>
      <c r="J24" s="62"/>
      <c r="K24" s="62"/>
      <c r="L24" s="63" t="str">
        <f t="shared" si="0"/>
        <v>021：シャイングリーン</v>
      </c>
    </row>
    <row r="25" spans="2:12" ht="25" customHeight="1">
      <c r="B25" s="58">
        <v>23</v>
      </c>
      <c r="C25" s="59" t="s">
        <v>113</v>
      </c>
      <c r="D25" s="59"/>
      <c r="E25" s="65" t="s">
        <v>114</v>
      </c>
      <c r="F25" s="66" t="s">
        <v>115</v>
      </c>
      <c r="G25" s="62" t="s">
        <v>162</v>
      </c>
      <c r="H25" s="62"/>
      <c r="I25" s="64"/>
      <c r="J25" s="62"/>
      <c r="K25" s="62"/>
      <c r="L25" s="63" t="str">
        <f t="shared" si="0"/>
        <v>022：アシッドイエロー</v>
      </c>
    </row>
    <row r="26" spans="2:12" ht="25" customHeight="1">
      <c r="B26" s="58">
        <v>24</v>
      </c>
      <c r="C26" s="59" t="s">
        <v>116</v>
      </c>
      <c r="D26" s="59"/>
      <c r="E26" s="65" t="s">
        <v>117</v>
      </c>
      <c r="F26" s="66" t="s">
        <v>118</v>
      </c>
      <c r="G26" s="62" t="s">
        <v>163</v>
      </c>
      <c r="H26" s="62"/>
      <c r="I26" s="62"/>
      <c r="J26" s="62"/>
      <c r="K26" s="62"/>
      <c r="L26" s="63" t="str">
        <f t="shared" si="0"/>
        <v>023：ネオンピンク</v>
      </c>
    </row>
    <row r="27" spans="2:12" ht="25" customHeight="1">
      <c r="B27" s="58">
        <v>25</v>
      </c>
      <c r="C27" s="59" t="s">
        <v>119</v>
      </c>
      <c r="D27" s="59"/>
      <c r="E27" s="65" t="s">
        <v>120</v>
      </c>
      <c r="F27" s="66" t="s">
        <v>121</v>
      </c>
      <c r="G27" s="62" t="s">
        <v>164</v>
      </c>
      <c r="H27" s="67"/>
      <c r="I27" s="62"/>
      <c r="J27" s="62"/>
      <c r="K27" s="62"/>
      <c r="L27" s="63" t="str">
        <f t="shared" si="0"/>
        <v>024：ネオンオレンジ</v>
      </c>
    </row>
    <row r="28" spans="2:12" ht="25" customHeight="1">
      <c r="B28" s="58">
        <v>26</v>
      </c>
      <c r="C28" s="59" t="s">
        <v>122</v>
      </c>
      <c r="D28" s="59"/>
      <c r="E28" s="65" t="s">
        <v>123</v>
      </c>
      <c r="F28" s="66" t="s">
        <v>124</v>
      </c>
      <c r="G28" s="62" t="s">
        <v>165</v>
      </c>
      <c r="H28" s="67"/>
      <c r="I28" s="62"/>
      <c r="J28" s="62"/>
      <c r="K28" s="62"/>
      <c r="L28" s="63" t="str">
        <f t="shared" si="0"/>
        <v>025：キャメル</v>
      </c>
    </row>
    <row r="29" spans="2:12" ht="25" customHeight="1">
      <c r="B29" s="58">
        <v>27</v>
      </c>
      <c r="C29" s="68" t="s">
        <v>125</v>
      </c>
      <c r="D29" s="68"/>
      <c r="E29" s="65" t="s">
        <v>126</v>
      </c>
      <c r="F29" s="66" t="s">
        <v>127</v>
      </c>
      <c r="G29" s="62" t="s">
        <v>166</v>
      </c>
      <c r="H29" s="67"/>
      <c r="I29" s="62"/>
      <c r="J29" s="62"/>
      <c r="K29" s="62"/>
      <c r="L29" s="63" t="str">
        <f t="shared" si="0"/>
        <v>026：ダークオリーブ</v>
      </c>
    </row>
    <row r="30" spans="2:12" ht="25" customHeight="1">
      <c r="B30" s="58">
        <v>28</v>
      </c>
      <c r="C30" s="68" t="s">
        <v>128</v>
      </c>
      <c r="D30" s="68"/>
      <c r="E30" s="65" t="s">
        <v>129</v>
      </c>
      <c r="F30" s="66" t="s">
        <v>130</v>
      </c>
      <c r="G30" s="62" t="s">
        <v>167</v>
      </c>
      <c r="H30" s="67"/>
      <c r="I30" s="62"/>
      <c r="J30" s="62"/>
      <c r="K30" s="62"/>
      <c r="L30" s="63" t="str">
        <f t="shared" si="0"/>
        <v>027：ローズピンク</v>
      </c>
    </row>
    <row r="31" spans="2:12" ht="25" customHeight="1">
      <c r="B31" s="58">
        <v>29</v>
      </c>
      <c r="C31" s="68" t="s">
        <v>131</v>
      </c>
      <c r="D31" s="68"/>
      <c r="E31" s="65" t="s">
        <v>132</v>
      </c>
      <c r="F31" s="66" t="s">
        <v>133</v>
      </c>
      <c r="G31" s="62" t="s">
        <v>67</v>
      </c>
      <c r="H31" s="67"/>
      <c r="I31" s="62"/>
      <c r="J31" s="62"/>
      <c r="K31" s="62"/>
      <c r="L31" s="63" t="str">
        <f t="shared" si="0"/>
        <v>028：ダークガン</v>
      </c>
    </row>
    <row r="32" spans="2:12" ht="25" customHeight="1">
      <c r="B32" s="58">
        <v>30</v>
      </c>
      <c r="C32" s="68" t="s">
        <v>134</v>
      </c>
      <c r="D32" s="68"/>
      <c r="E32" s="65" t="s">
        <v>135</v>
      </c>
      <c r="F32" s="66" t="s">
        <v>136</v>
      </c>
      <c r="G32" s="62" t="s">
        <v>259</v>
      </c>
      <c r="H32" s="67"/>
      <c r="I32" s="62"/>
      <c r="J32" s="62"/>
      <c r="K32" s="62"/>
      <c r="L32" s="63" t="str">
        <f t="shared" si="0"/>
        <v>029：グレー</v>
      </c>
    </row>
    <row r="33" spans="2:12" ht="25" customHeight="1">
      <c r="B33" s="58">
        <v>31</v>
      </c>
      <c r="C33" s="68" t="s">
        <v>137</v>
      </c>
      <c r="D33" s="68"/>
      <c r="E33" s="60" t="s">
        <v>138</v>
      </c>
      <c r="F33" s="61" t="s">
        <v>139</v>
      </c>
      <c r="G33" s="62" t="s">
        <v>260</v>
      </c>
      <c r="H33" s="67"/>
      <c r="I33" s="62"/>
      <c r="J33" s="62"/>
      <c r="K33" s="62"/>
      <c r="L33" s="63" t="str">
        <f t="shared" si="0"/>
        <v>030：コッパー</v>
      </c>
    </row>
    <row r="34" spans="2:12" ht="25" customHeight="1">
      <c r="B34" s="58">
        <v>32</v>
      </c>
      <c r="C34" s="68" t="s">
        <v>503</v>
      </c>
      <c r="D34" s="68" t="s">
        <v>504</v>
      </c>
      <c r="E34" s="60"/>
      <c r="F34" s="61"/>
      <c r="G34" s="62" t="s">
        <v>261</v>
      </c>
      <c r="H34" s="67"/>
      <c r="I34" s="62"/>
      <c r="J34" s="62"/>
      <c r="K34" s="62"/>
      <c r="L34" s="66"/>
    </row>
    <row r="35" spans="2:12" ht="25" customHeight="1">
      <c r="B35" s="58">
        <v>33</v>
      </c>
      <c r="C35" s="68"/>
      <c r="D35" s="68"/>
      <c r="E35" s="60"/>
      <c r="F35" s="61"/>
      <c r="G35" s="62" t="s">
        <v>262</v>
      </c>
      <c r="H35" s="67"/>
      <c r="I35" s="64"/>
      <c r="J35" s="62"/>
      <c r="K35" s="62"/>
      <c r="L35" s="61"/>
    </row>
    <row r="36" spans="2:12" ht="25" customHeight="1">
      <c r="B36" s="58">
        <v>34</v>
      </c>
      <c r="C36" s="68"/>
      <c r="D36" s="68"/>
      <c r="E36" s="60"/>
      <c r="F36" s="61"/>
      <c r="G36" s="62" t="s">
        <v>263</v>
      </c>
      <c r="H36" s="67"/>
      <c r="I36" s="62"/>
      <c r="J36" s="62"/>
      <c r="K36" s="62"/>
      <c r="L36" s="61"/>
    </row>
    <row r="37" spans="2:12" ht="25" customHeight="1">
      <c r="B37" s="58">
        <v>35</v>
      </c>
      <c r="C37" s="68"/>
      <c r="D37" s="68"/>
      <c r="E37" s="60"/>
      <c r="F37" s="61"/>
      <c r="G37" s="62" t="s">
        <v>264</v>
      </c>
      <c r="H37" s="67"/>
      <c r="I37" s="64"/>
      <c r="J37" s="62"/>
      <c r="K37" s="62"/>
      <c r="L37" s="61"/>
    </row>
    <row r="38" spans="2:12" ht="25" customHeight="1">
      <c r="B38" s="58">
        <v>36</v>
      </c>
      <c r="C38" s="68"/>
      <c r="D38" s="68"/>
      <c r="E38" s="60"/>
      <c r="F38" s="61"/>
      <c r="G38" s="62" t="s">
        <v>265</v>
      </c>
      <c r="H38" s="67"/>
      <c r="I38" s="62"/>
      <c r="J38" s="62"/>
      <c r="K38" s="62"/>
      <c r="L38" s="61"/>
    </row>
    <row r="39" spans="2:12" ht="25" customHeight="1">
      <c r="B39" s="58">
        <v>37</v>
      </c>
      <c r="C39" s="68"/>
      <c r="D39" s="68"/>
      <c r="E39" s="60"/>
      <c r="F39" s="61"/>
      <c r="G39" s="62" t="s">
        <v>266</v>
      </c>
      <c r="H39" s="67"/>
      <c r="I39" s="64"/>
      <c r="J39" s="62"/>
      <c r="K39" s="62"/>
      <c r="L39" s="61"/>
    </row>
    <row r="40" spans="2:12" ht="25" customHeight="1">
      <c r="B40" s="58">
        <v>38</v>
      </c>
      <c r="C40" s="68"/>
      <c r="D40" s="68"/>
      <c r="E40" s="60"/>
      <c r="F40" s="61"/>
      <c r="G40" s="62" t="s">
        <v>267</v>
      </c>
      <c r="H40" s="67"/>
      <c r="I40" s="62"/>
      <c r="J40" s="62"/>
      <c r="K40" s="62"/>
      <c r="L40" s="61"/>
    </row>
    <row r="41" spans="2:12" ht="25" customHeight="1">
      <c r="B41" s="58">
        <v>39</v>
      </c>
      <c r="C41" s="68"/>
      <c r="D41" s="68"/>
      <c r="E41" s="60"/>
      <c r="F41" s="61"/>
      <c r="G41" s="62" t="s">
        <v>268</v>
      </c>
      <c r="H41" s="67"/>
      <c r="I41" s="64"/>
      <c r="J41" s="62"/>
      <c r="K41" s="62"/>
      <c r="L41" s="61"/>
    </row>
    <row r="42" spans="2:12" ht="25" customHeight="1">
      <c r="B42" s="69">
        <v>40</v>
      </c>
      <c r="C42" s="70"/>
      <c r="D42" s="70"/>
      <c r="E42" s="71"/>
      <c r="F42" s="72"/>
      <c r="G42" s="62" t="s">
        <v>269</v>
      </c>
      <c r="H42" s="74"/>
      <c r="I42" s="75"/>
      <c r="J42" s="73"/>
      <c r="K42" s="73"/>
      <c r="L42" s="72"/>
    </row>
  </sheetData>
  <phoneticPr fontId="3"/>
  <conditionalFormatting sqref="B3:L42">
    <cfRule type="expression" dxfId="0" priority="1">
      <formula>MOD(ROW(),2)=1</formula>
    </cfRule>
  </conditionalFormatting>
  <pageMargins left="0.7" right="0.7" top="0.75" bottom="0.75" header="0.3" footer="0.3"/>
  <pageSetup paperSize="256" orientation="portrait" horizontalDpi="0" verticalDpi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DE48-AC08-5749-A117-06DAB5AC4B27}">
  <dimension ref="B2:E10"/>
  <sheetViews>
    <sheetView workbookViewId="0">
      <selection activeCell="G7" sqref="G7"/>
    </sheetView>
  </sheetViews>
  <sheetFormatPr baseColWidth="10" defaultColWidth="10.7109375" defaultRowHeight="18"/>
  <cols>
    <col min="1" max="1" width="10.7109375" style="77"/>
    <col min="2" max="2" width="9.140625" style="77" bestFit="1" customWidth="1"/>
    <col min="3" max="3" width="13.28515625" style="77" bestFit="1" customWidth="1"/>
    <col min="4" max="4" width="16.140625" style="77" bestFit="1" customWidth="1"/>
    <col min="5" max="5" width="30.7109375" style="77" bestFit="1" customWidth="1"/>
    <col min="6" max="16384" width="10.7109375" style="77"/>
  </cols>
  <sheetData>
    <row r="2" spans="2:5" ht="25" customHeight="1">
      <c r="B2" s="76" t="s">
        <v>20</v>
      </c>
      <c r="C2" s="76" t="s">
        <v>15</v>
      </c>
      <c r="D2" s="76" t="s">
        <v>21</v>
      </c>
      <c r="E2" s="76" t="s">
        <v>22</v>
      </c>
    </row>
    <row r="3" spans="2:5" ht="25" customHeight="1">
      <c r="B3" s="77" t="s">
        <v>18</v>
      </c>
      <c r="C3" s="77" t="s">
        <v>12</v>
      </c>
      <c r="D3" s="77" t="s">
        <v>23</v>
      </c>
      <c r="E3" s="77" t="s">
        <v>24</v>
      </c>
    </row>
    <row r="4" spans="2:5" ht="25" customHeight="1">
      <c r="B4" s="77" t="s">
        <v>18</v>
      </c>
      <c r="C4" s="77" t="s">
        <v>16</v>
      </c>
      <c r="D4" s="77" t="s">
        <v>25</v>
      </c>
      <c r="E4" s="77" t="s">
        <v>26</v>
      </c>
    </row>
    <row r="5" spans="2:5" ht="25" customHeight="1">
      <c r="B5" s="77" t="s">
        <v>18</v>
      </c>
      <c r="C5" s="77" t="s">
        <v>17</v>
      </c>
      <c r="D5" s="77" t="s">
        <v>27</v>
      </c>
      <c r="E5" s="77" t="s">
        <v>28</v>
      </c>
    </row>
    <row r="6" spans="2:5" ht="25" customHeight="1">
      <c r="B6" s="77" t="s">
        <v>18</v>
      </c>
      <c r="C6" s="77" t="s">
        <v>29</v>
      </c>
      <c r="D6" s="77" t="s">
        <v>30</v>
      </c>
      <c r="E6" s="77" t="s">
        <v>31</v>
      </c>
    </row>
    <row r="7" spans="2:5" ht="25" customHeight="1">
      <c r="B7" s="77" t="s">
        <v>19</v>
      </c>
      <c r="C7" s="77" t="s">
        <v>12</v>
      </c>
      <c r="D7" s="77" t="s">
        <v>32</v>
      </c>
      <c r="E7" s="77" t="s">
        <v>33</v>
      </c>
    </row>
    <row r="8" spans="2:5" ht="25" customHeight="1">
      <c r="B8" s="77" t="s">
        <v>19</v>
      </c>
      <c r="C8" s="77" t="s">
        <v>16</v>
      </c>
      <c r="D8" s="77" t="s">
        <v>34</v>
      </c>
      <c r="E8" s="77" t="s">
        <v>35</v>
      </c>
    </row>
    <row r="9" spans="2:5" ht="25" customHeight="1">
      <c r="B9" s="77" t="s">
        <v>19</v>
      </c>
      <c r="C9" s="77" t="s">
        <v>17</v>
      </c>
      <c r="D9" s="77" t="s">
        <v>36</v>
      </c>
      <c r="E9" s="77" t="s">
        <v>37</v>
      </c>
    </row>
    <row r="10" spans="2:5" ht="25" customHeight="1">
      <c r="B10" s="77" t="s">
        <v>19</v>
      </c>
      <c r="C10" s="77" t="s">
        <v>29</v>
      </c>
      <c r="D10" s="77" t="s">
        <v>38</v>
      </c>
      <c r="E10" s="77" t="s">
        <v>39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0B29-C89E-0D49-88C8-64428A326FF6}">
  <dimension ref="B1:D87"/>
  <sheetViews>
    <sheetView showGridLines="0" workbookViewId="0">
      <selection activeCell="C11" sqref="C11"/>
    </sheetView>
  </sheetViews>
  <sheetFormatPr baseColWidth="10" defaultRowHeight="18"/>
  <cols>
    <col min="1" max="1" width="10.7109375" style="1"/>
    <col min="2" max="2" width="34.85546875" style="1" bestFit="1" customWidth="1"/>
    <col min="3" max="3" width="89.85546875" style="1" bestFit="1" customWidth="1"/>
    <col min="4" max="16384" width="10.7109375" style="1"/>
  </cols>
  <sheetData>
    <row r="1" spans="2:3" ht="25" customHeight="1"/>
    <row r="2" spans="2:3" ht="25" customHeight="1"/>
    <row r="3" spans="2:3" ht="25" customHeight="1"/>
    <row r="4" spans="2:3" ht="25" customHeight="1">
      <c r="B4" s="140"/>
      <c r="C4" s="140"/>
    </row>
    <row r="5" spans="2:3" ht="25" customHeight="1">
      <c r="B5" s="14"/>
      <c r="C5" s="14"/>
    </row>
    <row r="6" spans="2:3" ht="25" customHeight="1">
      <c r="B6" s="14"/>
      <c r="C6" s="14"/>
    </row>
    <row r="7" spans="2:3" ht="25" customHeight="1">
      <c r="B7" s="14"/>
      <c r="C7" s="14"/>
    </row>
    <row r="8" spans="2:3" ht="25" customHeight="1">
      <c r="B8" s="14"/>
      <c r="C8" s="14"/>
    </row>
    <row r="9" spans="2:3" ht="25" customHeight="1">
      <c r="B9" s="14"/>
      <c r="C9" s="14"/>
    </row>
    <row r="10" spans="2:3" ht="25" customHeight="1">
      <c r="B10" s="14"/>
      <c r="C10" s="14"/>
    </row>
    <row r="11" spans="2:3" ht="25" customHeight="1">
      <c r="B11" s="14"/>
      <c r="C11" s="14"/>
    </row>
    <row r="12" spans="2:3" ht="25" customHeight="1">
      <c r="B12" s="14"/>
      <c r="C12" s="14"/>
    </row>
    <row r="13" spans="2:3" ht="25" customHeight="1">
      <c r="B13" s="14"/>
      <c r="C13" s="14"/>
    </row>
    <row r="14" spans="2:3" ht="25" customHeight="1">
      <c r="B14" s="14"/>
      <c r="C14" s="14"/>
    </row>
    <row r="15" spans="2:3" ht="25" customHeight="1">
      <c r="B15" s="14"/>
      <c r="C15" s="14"/>
    </row>
    <row r="16" spans="2:3" ht="25" customHeight="1">
      <c r="B16" s="14"/>
      <c r="C16" s="14"/>
    </row>
    <row r="17" spans="2:3" ht="25" customHeight="1">
      <c r="B17" s="14"/>
      <c r="C17" s="14"/>
    </row>
    <row r="18" spans="2:3" ht="25" customHeight="1">
      <c r="B18" s="14"/>
      <c r="C18" s="14"/>
    </row>
    <row r="19" spans="2:3" ht="25" customHeight="1">
      <c r="B19" s="14"/>
      <c r="C19" s="14"/>
    </row>
    <row r="20" spans="2:3" ht="25" customHeight="1">
      <c r="B20" s="14"/>
      <c r="C20" s="14"/>
    </row>
    <row r="21" spans="2:3" ht="25" customHeight="1">
      <c r="B21" s="14"/>
      <c r="C21" s="14"/>
    </row>
    <row r="22" spans="2:3" ht="25" customHeight="1">
      <c r="B22" s="14"/>
      <c r="C22" s="14"/>
    </row>
    <row r="23" spans="2:3" ht="25" customHeight="1">
      <c r="B23" s="14"/>
      <c r="C23" s="14"/>
    </row>
    <row r="24" spans="2:3" ht="25" customHeight="1">
      <c r="B24" s="14"/>
      <c r="C24" s="14"/>
    </row>
    <row r="25" spans="2:3" ht="25" customHeight="1">
      <c r="B25" s="14"/>
      <c r="C25" s="14"/>
    </row>
    <row r="26" spans="2:3" ht="25" customHeight="1">
      <c r="B26" s="14"/>
      <c r="C26" s="14"/>
    </row>
    <row r="27" spans="2:3" ht="25" customHeight="1">
      <c r="B27" s="14"/>
      <c r="C27" s="14"/>
    </row>
    <row r="28" spans="2:3" ht="25" customHeight="1">
      <c r="B28" s="14"/>
      <c r="C28" s="14"/>
    </row>
    <row r="29" spans="2:3" ht="25" customHeight="1">
      <c r="B29" s="140"/>
      <c r="C29" s="140"/>
    </row>
    <row r="30" spans="2:3" ht="25" customHeight="1">
      <c r="B30" s="14"/>
      <c r="C30" s="14"/>
    </row>
    <row r="31" spans="2:3" ht="25" customHeight="1">
      <c r="B31" s="14"/>
      <c r="C31" s="14"/>
    </row>
    <row r="32" spans="2:3" ht="25" customHeight="1">
      <c r="B32" s="14"/>
      <c r="C32" s="14"/>
    </row>
    <row r="33" spans="2:3" ht="25" customHeight="1">
      <c r="B33" s="14"/>
      <c r="C33" s="14"/>
    </row>
    <row r="34" spans="2:3" ht="25" customHeight="1">
      <c r="B34" s="14"/>
      <c r="C34" s="14"/>
    </row>
    <row r="35" spans="2:3" ht="25" customHeight="1">
      <c r="B35" s="14"/>
      <c r="C35" s="14"/>
    </row>
    <row r="36" spans="2:3" ht="25" customHeight="1">
      <c r="B36" s="14"/>
      <c r="C36" s="14"/>
    </row>
    <row r="37" spans="2:3" ht="25" customHeight="1">
      <c r="B37" s="14"/>
      <c r="C37" s="14"/>
    </row>
    <row r="38" spans="2:3" ht="25" customHeight="1">
      <c r="B38" s="14"/>
      <c r="C38" s="14"/>
    </row>
    <row r="39" spans="2:3" ht="25" customHeight="1">
      <c r="B39" s="14"/>
      <c r="C39" s="14"/>
    </row>
    <row r="40" spans="2:3" ht="25" customHeight="1">
      <c r="B40" s="14"/>
      <c r="C40" s="14"/>
    </row>
    <row r="41" spans="2:3" ht="25" customHeight="1">
      <c r="B41" s="14"/>
      <c r="C41" s="14"/>
    </row>
    <row r="42" spans="2:3" ht="25" customHeight="1">
      <c r="B42" s="14"/>
      <c r="C42" s="14"/>
    </row>
    <row r="43" spans="2:3" ht="25" customHeight="1">
      <c r="B43" s="14"/>
      <c r="C43" s="14"/>
    </row>
    <row r="44" spans="2:3" ht="25" customHeight="1">
      <c r="B44" s="14"/>
      <c r="C44" s="14"/>
    </row>
    <row r="45" spans="2:3" ht="25" customHeight="1">
      <c r="B45" s="14"/>
      <c r="C45" s="14"/>
    </row>
    <row r="46" spans="2:3" ht="25" customHeight="1">
      <c r="B46" s="14"/>
      <c r="C46" s="14"/>
    </row>
    <row r="47" spans="2:3" ht="25" customHeight="1">
      <c r="B47" s="14"/>
      <c r="C47" s="14"/>
    </row>
    <row r="48" spans="2:3" ht="25" customHeight="1">
      <c r="B48" s="14"/>
      <c r="C48" s="14"/>
    </row>
    <row r="49" spans="2:3" ht="25" customHeight="1">
      <c r="B49" s="140"/>
      <c r="C49" s="140"/>
    </row>
    <row r="50" spans="2:3" ht="25" customHeight="1">
      <c r="B50" s="14"/>
      <c r="C50" s="14"/>
    </row>
    <row r="51" spans="2:3" ht="25" customHeight="1">
      <c r="C51" s="14"/>
    </row>
    <row r="52" spans="2:3" ht="25" customHeight="1">
      <c r="C52" s="14"/>
    </row>
    <row r="53" spans="2:3" ht="25" customHeight="1">
      <c r="C53" s="14"/>
    </row>
    <row r="54" spans="2:3" ht="25" customHeight="1">
      <c r="C54" s="14"/>
    </row>
    <row r="55" spans="2:3" ht="25" customHeight="1">
      <c r="C55" s="14"/>
    </row>
    <row r="56" spans="2:3" ht="25" customHeight="1">
      <c r="C56" s="14"/>
    </row>
    <row r="57" spans="2:3" ht="25" customHeight="1">
      <c r="C57" s="14"/>
    </row>
    <row r="58" spans="2:3" ht="25" customHeight="1">
      <c r="C58" s="14"/>
    </row>
    <row r="59" spans="2:3" ht="25" customHeight="1">
      <c r="C59" s="14"/>
    </row>
    <row r="60" spans="2:3" ht="25" customHeight="1">
      <c r="C60" s="14"/>
    </row>
    <row r="61" spans="2:3" ht="25" customHeight="1"/>
    <row r="62" spans="2:3" ht="25" customHeight="1"/>
    <row r="63" spans="2:3" ht="25" customHeight="1"/>
    <row r="64" spans="2:3" ht="25" customHeight="1"/>
    <row r="82" spans="2:4" ht="50" customHeight="1">
      <c r="B82" s="136"/>
      <c r="C82" s="136"/>
      <c r="D82" s="136"/>
    </row>
    <row r="83" spans="2:4" ht="25" customHeight="1"/>
    <row r="84" spans="2:4" ht="25" customHeight="1"/>
    <row r="85" spans="2:4" ht="25" customHeight="1"/>
    <row r="86" spans="2:4" ht="25" customHeight="1"/>
    <row r="87" spans="2:4" ht="25" customHeight="1"/>
  </sheetData>
  <phoneticPr fontId="3"/>
  <pageMargins left="0.7" right="0.7" top="0.75" bottom="0.75" header="0.3" footer="0.3"/>
  <pageSetup paperSize="256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267C-B494-E84B-AA40-5000A7C7D48E}">
  <dimension ref="B1:J137"/>
  <sheetViews>
    <sheetView zoomScaleNormal="100" workbookViewId="0">
      <selection activeCell="F29" sqref="F29"/>
    </sheetView>
  </sheetViews>
  <sheetFormatPr baseColWidth="10" defaultRowHeight="18"/>
  <cols>
    <col min="1" max="1" width="8" style="1" customWidth="1"/>
    <col min="2" max="6" width="30.7109375" style="119" customWidth="1"/>
    <col min="7" max="7" width="25.85546875" style="1" bestFit="1" customWidth="1"/>
    <col min="8" max="8" width="30.7109375" style="1" customWidth="1"/>
    <col min="9" max="10" width="30.7109375" style="119" customWidth="1"/>
    <col min="11" max="16384" width="10.7109375" style="1"/>
  </cols>
  <sheetData>
    <row r="1" spans="2:10">
      <c r="H1" s="119"/>
      <c r="J1" s="1"/>
    </row>
    <row r="2" spans="2:10">
      <c r="H2" s="119"/>
      <c r="J2" s="1"/>
    </row>
    <row r="3" spans="2:10">
      <c r="H3" s="119"/>
      <c r="J3" s="1"/>
    </row>
    <row r="4" spans="2:10">
      <c r="H4" s="119"/>
      <c r="J4" s="1"/>
    </row>
    <row r="5" spans="2:10">
      <c r="H5" s="119"/>
      <c r="J5" s="1"/>
    </row>
    <row r="6" spans="2:10">
      <c r="H6" s="119"/>
      <c r="J6" s="1"/>
    </row>
    <row r="7" spans="2:10">
      <c r="B7" s="239"/>
      <c r="D7" s="239"/>
      <c r="H7" s="119"/>
      <c r="J7" s="1"/>
    </row>
    <row r="8" spans="2:10">
      <c r="B8" s="239"/>
      <c r="D8" s="239"/>
      <c r="H8" s="119"/>
      <c r="J8" s="1"/>
    </row>
    <row r="9" spans="2:10">
      <c r="H9" s="119"/>
      <c r="J9" s="1"/>
    </row>
    <row r="10" spans="2:10">
      <c r="D10" s="125"/>
      <c r="H10" s="119"/>
      <c r="J10" s="1"/>
    </row>
    <row r="11" spans="2:10">
      <c r="H11" s="119"/>
      <c r="J11" s="1"/>
    </row>
    <row r="12" spans="2:10">
      <c r="B12" s="121"/>
      <c r="C12" s="121"/>
      <c r="H12" s="119"/>
      <c r="J12" s="1"/>
    </row>
    <row r="13" spans="2:10">
      <c r="B13" s="120"/>
      <c r="C13" s="120"/>
      <c r="H13" s="119"/>
      <c r="J13" s="1"/>
    </row>
    <row r="14" spans="2:10">
      <c r="B14" s="121"/>
      <c r="C14" s="121"/>
      <c r="H14" s="119"/>
      <c r="J14" s="1"/>
    </row>
    <row r="15" spans="2:10">
      <c r="B15" s="120"/>
      <c r="C15" s="120"/>
      <c r="H15" s="119"/>
      <c r="J15" s="1"/>
    </row>
    <row r="16" spans="2:10">
      <c r="B16" s="120"/>
      <c r="C16" s="120"/>
      <c r="H16" s="119"/>
      <c r="J16" s="1"/>
    </row>
    <row r="17" spans="3:10">
      <c r="H17" s="119"/>
      <c r="J17" s="1"/>
    </row>
    <row r="18" spans="3:10">
      <c r="H18" s="119"/>
      <c r="J18" s="1"/>
    </row>
    <row r="19" spans="3:10">
      <c r="H19" s="119"/>
      <c r="J19" s="1"/>
    </row>
    <row r="20" spans="3:10">
      <c r="H20" s="119"/>
      <c r="J20" s="1"/>
    </row>
    <row r="21" spans="3:10">
      <c r="H21" s="119"/>
      <c r="J21" s="1"/>
    </row>
    <row r="22" spans="3:10">
      <c r="H22" s="119"/>
      <c r="J22" s="1"/>
    </row>
    <row r="23" spans="3:10">
      <c r="H23" s="119"/>
      <c r="J23" s="1"/>
    </row>
    <row r="24" spans="3:10">
      <c r="C24" s="125"/>
      <c r="H24" s="119"/>
      <c r="J24" s="1"/>
    </row>
    <row r="25" spans="3:10">
      <c r="H25" s="119"/>
      <c r="J25" s="1"/>
    </row>
    <row r="26" spans="3:10">
      <c r="H26" s="119"/>
      <c r="J26" s="1"/>
    </row>
    <row r="27" spans="3:10">
      <c r="H27" s="119"/>
      <c r="J27" s="1"/>
    </row>
    <row r="28" spans="3:10">
      <c r="H28" s="119"/>
      <c r="J28" s="1"/>
    </row>
    <row r="29" spans="3:10">
      <c r="H29" s="119"/>
      <c r="J29" s="1"/>
    </row>
    <row r="30" spans="3:10">
      <c r="H30" s="119"/>
      <c r="J30" s="1"/>
    </row>
    <row r="31" spans="3:10">
      <c r="H31" s="119"/>
      <c r="J31" s="1"/>
    </row>
    <row r="32" spans="3:10">
      <c r="H32" s="119"/>
      <c r="J32" s="1"/>
    </row>
    <row r="33" spans="3:10">
      <c r="H33" s="119"/>
      <c r="J33" s="1"/>
    </row>
    <row r="34" spans="3:10">
      <c r="H34" s="119"/>
      <c r="J34" s="1"/>
    </row>
    <row r="35" spans="3:10">
      <c r="H35" s="119"/>
      <c r="J35" s="1"/>
    </row>
    <row r="36" spans="3:10">
      <c r="H36" s="119"/>
      <c r="J36" s="1"/>
    </row>
    <row r="37" spans="3:10">
      <c r="C37" s="125"/>
      <c r="H37" s="119"/>
      <c r="J37" s="1"/>
    </row>
    <row r="38" spans="3:10">
      <c r="C38" s="125"/>
      <c r="H38" s="119"/>
      <c r="J38" s="1"/>
    </row>
    <row r="39" spans="3:10">
      <c r="D39" s="125"/>
      <c r="H39" s="119"/>
      <c r="J39" s="1"/>
    </row>
    <row r="40" spans="3:10">
      <c r="D40" s="125"/>
      <c r="H40" s="119"/>
      <c r="J40" s="1"/>
    </row>
    <row r="41" spans="3:10">
      <c r="C41" s="125"/>
      <c r="H41" s="119"/>
      <c r="J41" s="1"/>
    </row>
    <row r="42" spans="3:10" ht="25" customHeight="1">
      <c r="H42" s="119"/>
      <c r="J42" s="1"/>
    </row>
    <row r="44" spans="3:10" ht="50" customHeight="1"/>
    <row r="50" spans="2:5">
      <c r="D50" s="1"/>
      <c r="E50" s="1"/>
    </row>
    <row r="52" spans="2:5" s="119" customFormat="1"/>
    <row r="53" spans="2:5" s="119" customFormat="1">
      <c r="E53" s="1"/>
    </row>
    <row r="54" spans="2:5" s="119" customFormat="1"/>
    <row r="55" spans="2:5" s="119" customFormat="1">
      <c r="E55" s="1"/>
    </row>
    <row r="56" spans="2:5" s="119" customFormat="1">
      <c r="C56" s="125"/>
    </row>
    <row r="57" spans="2:5" s="119" customFormat="1">
      <c r="C57" s="125"/>
    </row>
    <row r="58" spans="2:5" s="119" customFormat="1">
      <c r="C58" s="125"/>
      <c r="D58" s="125"/>
    </row>
    <row r="59" spans="2:5" ht="24">
      <c r="B59" s="137"/>
      <c r="C59"/>
      <c r="D59"/>
    </row>
    <row r="60" spans="2:5" ht="20">
      <c r="B60"/>
      <c r="C60"/>
      <c r="D60"/>
    </row>
    <row r="61" spans="2:5" ht="20">
      <c r="B61"/>
      <c r="C61"/>
      <c r="D61"/>
    </row>
    <row r="62" spans="2:5" ht="20">
      <c r="B62"/>
      <c r="C62"/>
      <c r="D62"/>
    </row>
    <row r="63" spans="2:5" ht="20">
      <c r="B63"/>
      <c r="C63"/>
      <c r="D63"/>
    </row>
    <row r="64" spans="2:5" ht="20">
      <c r="B64"/>
      <c r="C64"/>
      <c r="D64"/>
    </row>
    <row r="65" spans="2:4" ht="31">
      <c r="B65" s="138"/>
      <c r="C65"/>
      <c r="D65"/>
    </row>
    <row r="66" spans="2:4" ht="20">
      <c r="B66"/>
      <c r="C66"/>
      <c r="D66"/>
    </row>
    <row r="67" spans="2:4" ht="20">
      <c r="B67" s="136"/>
      <c r="C67" s="136"/>
      <c r="D67" s="136"/>
    </row>
    <row r="68" spans="2:4" ht="20">
      <c r="B68" s="136"/>
      <c r="C68"/>
      <c r="D68"/>
    </row>
    <row r="69" spans="2:4" ht="20">
      <c r="B69" s="136"/>
      <c r="C69"/>
      <c r="D69"/>
    </row>
    <row r="70" spans="2:4" ht="20">
      <c r="B70" s="136"/>
      <c r="C70" s="136"/>
      <c r="D70"/>
    </row>
    <row r="71" spans="2:4" ht="20">
      <c r="B71" s="136"/>
      <c r="C71" s="139"/>
      <c r="D71"/>
    </row>
    <row r="72" spans="2:4" ht="20">
      <c r="B72"/>
      <c r="C72"/>
      <c r="D72"/>
    </row>
    <row r="73" spans="2:4" ht="20">
      <c r="B73"/>
      <c r="C73"/>
      <c r="D73"/>
    </row>
    <row r="74" spans="2:4" ht="31">
      <c r="B74" s="138"/>
      <c r="C74"/>
      <c r="D74"/>
    </row>
    <row r="75" spans="2:4" ht="20">
      <c r="B75"/>
      <c r="C75"/>
      <c r="D75"/>
    </row>
    <row r="76" spans="2:4" ht="20">
      <c r="B76" s="136"/>
      <c r="C76" s="136"/>
      <c r="D76" s="136"/>
    </row>
    <row r="77" spans="2:4" ht="20">
      <c r="B77" s="237"/>
      <c r="C77" s="136"/>
      <c r="D77" s="238"/>
    </row>
    <row r="78" spans="2:4" ht="20">
      <c r="B78" s="237"/>
      <c r="C78"/>
      <c r="D78" s="238"/>
    </row>
    <row r="79" spans="2:4" ht="20">
      <c r="B79" s="237"/>
      <c r="C79"/>
      <c r="D79" s="238"/>
    </row>
    <row r="80" spans="2:4" ht="20">
      <c r="B80" s="237"/>
      <c r="C80" s="136"/>
      <c r="D80" s="238"/>
    </row>
    <row r="81" spans="2:4" ht="20">
      <c r="B81" s="237"/>
      <c r="C81"/>
      <c r="D81" s="238"/>
    </row>
    <row r="82" spans="2:4" ht="20">
      <c r="B82" s="237"/>
      <c r="C82"/>
      <c r="D82" s="238"/>
    </row>
    <row r="83" spans="2:4" ht="20">
      <c r="B83" s="237"/>
      <c r="C83" s="136"/>
      <c r="D83" s="238"/>
    </row>
    <row r="84" spans="2:4" ht="20">
      <c r="B84" s="237"/>
      <c r="C84"/>
      <c r="D84" s="238"/>
    </row>
    <row r="85" spans="2:4" ht="20">
      <c r="B85" s="237"/>
      <c r="C85"/>
      <c r="D85" s="238"/>
    </row>
    <row r="86" spans="2:4" ht="20">
      <c r="B86"/>
      <c r="C86"/>
      <c r="D86"/>
    </row>
    <row r="87" spans="2:4" ht="20">
      <c r="B87" s="139"/>
      <c r="C87"/>
      <c r="D87"/>
    </row>
    <row r="88" spans="2:4" ht="20">
      <c r="B88"/>
      <c r="C88"/>
      <c r="D88"/>
    </row>
    <row r="89" spans="2:4" ht="20">
      <c r="B89"/>
      <c r="C89"/>
      <c r="D89"/>
    </row>
    <row r="90" spans="2:4" ht="20">
      <c r="B90"/>
      <c r="C90"/>
      <c r="D90"/>
    </row>
    <row r="91" spans="2:4" ht="31">
      <c r="B91" s="138"/>
      <c r="C91"/>
      <c r="D91"/>
    </row>
    <row r="92" spans="2:4" ht="20">
      <c r="B92"/>
      <c r="C92"/>
      <c r="D92"/>
    </row>
    <row r="93" spans="2:4" ht="20">
      <c r="B93" s="136"/>
      <c r="C93" s="136"/>
      <c r="D93"/>
    </row>
    <row r="94" spans="2:4" ht="20">
      <c r="B94" s="237"/>
      <c r="C94"/>
      <c r="D94"/>
    </row>
    <row r="95" spans="2:4" ht="20">
      <c r="B95" s="237"/>
      <c r="C95"/>
      <c r="D95"/>
    </row>
    <row r="96" spans="2:4" ht="20">
      <c r="B96" s="237"/>
      <c r="C96"/>
      <c r="D96"/>
    </row>
    <row r="97" spans="2:4" ht="20">
      <c r="B97" s="237"/>
      <c r="C97"/>
      <c r="D97"/>
    </row>
    <row r="98" spans="2:4" ht="20">
      <c r="B98" s="237"/>
      <c r="C98"/>
      <c r="D98"/>
    </row>
    <row r="99" spans="2:4" ht="20">
      <c r="B99" s="237"/>
      <c r="C99"/>
      <c r="D99"/>
    </row>
    <row r="100" spans="2:4" ht="20">
      <c r="B100"/>
      <c r="C100"/>
      <c r="D100"/>
    </row>
    <row r="101" spans="2:4" ht="20">
      <c r="B101"/>
      <c r="C101"/>
      <c r="D101"/>
    </row>
    <row r="102" spans="2:4" ht="31">
      <c r="B102" s="138"/>
      <c r="C102"/>
      <c r="D102"/>
    </row>
    <row r="103" spans="2:4" ht="20">
      <c r="B103"/>
      <c r="C103"/>
      <c r="D103"/>
    </row>
    <row r="104" spans="2:4" ht="20">
      <c r="B104" s="136"/>
      <c r="C104"/>
      <c r="D104"/>
    </row>
    <row r="105" spans="2:4" ht="20">
      <c r="B105"/>
      <c r="C105"/>
      <c r="D105"/>
    </row>
    <row r="106" spans="2:4" ht="20">
      <c r="B106"/>
      <c r="C106"/>
      <c r="D106"/>
    </row>
    <row r="107" spans="2:4" ht="20">
      <c r="B107"/>
      <c r="C107"/>
      <c r="D107"/>
    </row>
    <row r="108" spans="2:4" ht="20">
      <c r="B108"/>
      <c r="C108"/>
      <c r="D108"/>
    </row>
    <row r="109" spans="2:4" ht="20">
      <c r="B109"/>
      <c r="C109"/>
      <c r="D109"/>
    </row>
    <row r="110" spans="2:4" ht="20">
      <c r="B110" s="136"/>
      <c r="C110"/>
      <c r="D110"/>
    </row>
    <row r="111" spans="2:4" ht="20">
      <c r="B111"/>
      <c r="C111"/>
      <c r="D111"/>
    </row>
    <row r="112" spans="2:4" ht="20">
      <c r="B112"/>
      <c r="C112"/>
      <c r="D112"/>
    </row>
    <row r="113" spans="2:4" ht="20">
      <c r="B113"/>
      <c r="C113"/>
      <c r="D113"/>
    </row>
    <row r="114" spans="2:4" ht="20">
      <c r="B114"/>
      <c r="C114"/>
      <c r="D114"/>
    </row>
    <row r="115" spans="2:4" ht="20">
      <c r="B115"/>
      <c r="C115"/>
      <c r="D115"/>
    </row>
    <row r="116" spans="2:4" ht="20">
      <c r="B116"/>
      <c r="C116"/>
      <c r="D116"/>
    </row>
    <row r="117" spans="2:4" ht="20">
      <c r="B117"/>
      <c r="C117"/>
      <c r="D117"/>
    </row>
    <row r="118" spans="2:4" ht="31">
      <c r="B118" s="138"/>
      <c r="C118"/>
      <c r="D118"/>
    </row>
    <row r="119" spans="2:4" ht="20">
      <c r="B119"/>
      <c r="C119"/>
      <c r="D119"/>
    </row>
    <row r="120" spans="2:4" ht="20">
      <c r="B120"/>
      <c r="C120"/>
      <c r="D120"/>
    </row>
    <row r="121" spans="2:4" ht="20">
      <c r="B121"/>
      <c r="C121"/>
      <c r="D121"/>
    </row>
    <row r="122" spans="2:4" ht="20">
      <c r="B122"/>
      <c r="C122"/>
      <c r="D122"/>
    </row>
    <row r="123" spans="2:4" ht="20">
      <c r="B123"/>
      <c r="C123"/>
      <c r="D123"/>
    </row>
    <row r="124" spans="2:4" ht="20">
      <c r="B124"/>
      <c r="C124"/>
      <c r="D124"/>
    </row>
    <row r="125" spans="2:4" ht="20">
      <c r="B125"/>
      <c r="C125"/>
      <c r="D125"/>
    </row>
    <row r="126" spans="2:4" ht="20">
      <c r="B126"/>
      <c r="C126"/>
      <c r="D126"/>
    </row>
    <row r="127" spans="2:4" ht="20">
      <c r="B127"/>
      <c r="C127"/>
      <c r="D127"/>
    </row>
    <row r="128" spans="2:4" ht="24">
      <c r="B128" s="137"/>
      <c r="C128"/>
      <c r="D128"/>
    </row>
    <row r="129" spans="2:4" ht="20">
      <c r="B129"/>
      <c r="C129"/>
      <c r="D129"/>
    </row>
    <row r="130" spans="2:4" ht="20">
      <c r="B130" s="136"/>
      <c r="C130"/>
      <c r="D130"/>
    </row>
    <row r="131" spans="2:4" ht="20">
      <c r="B131"/>
      <c r="C131"/>
      <c r="D131"/>
    </row>
    <row r="132" spans="2:4" ht="20">
      <c r="B132" s="136"/>
      <c r="C132"/>
      <c r="D132"/>
    </row>
    <row r="133" spans="2:4" ht="20">
      <c r="B133"/>
      <c r="C133"/>
      <c r="D133"/>
    </row>
    <row r="134" spans="2:4" ht="20">
      <c r="B134" s="136"/>
      <c r="C134"/>
      <c r="D134"/>
    </row>
    <row r="135" spans="2:4" ht="20">
      <c r="B135"/>
      <c r="C135"/>
      <c r="D135"/>
    </row>
    <row r="136" spans="2:4" ht="20">
      <c r="B136"/>
      <c r="C136"/>
      <c r="D136"/>
    </row>
    <row r="137" spans="2:4" ht="20">
      <c r="B137"/>
      <c r="C137"/>
      <c r="D137"/>
    </row>
  </sheetData>
  <mergeCells count="11">
    <mergeCell ref="B98:B99"/>
    <mergeCell ref="B80:B82"/>
    <mergeCell ref="D80:D82"/>
    <mergeCell ref="B83:B85"/>
    <mergeCell ref="D83:D85"/>
    <mergeCell ref="B94:B95"/>
    <mergeCell ref="B77:B79"/>
    <mergeCell ref="D77:D79"/>
    <mergeCell ref="B7:B8"/>
    <mergeCell ref="D7:D8"/>
    <mergeCell ref="B96:B97"/>
  </mergeCells>
  <phoneticPr fontId="3"/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投入カレンダー</vt:lpstr>
      <vt:lpstr>中期３カ年</vt:lpstr>
      <vt:lpstr>シーズン概要</vt:lpstr>
      <vt:lpstr>Sheet1</vt:lpstr>
      <vt:lpstr>投入計画</vt:lpstr>
      <vt:lpstr>売上粗利計画</vt:lpstr>
      <vt:lpstr>広告</vt:lpstr>
      <vt:lpstr>SKUマスタ</vt:lpstr>
      <vt:lpstr>SKUカラー</vt:lpstr>
      <vt:lpstr>発注書</vt:lpstr>
      <vt:lpstr>カテゴリ別構成</vt:lpstr>
      <vt:lpstr>お見積もり</vt:lpstr>
      <vt:lpstr>カラーコード</vt:lpstr>
      <vt:lpstr>デリバリーリスト</vt:lpstr>
      <vt:lpstr>Marketing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mitsui@sennichi.co.jp</dc:creator>
  <cp:lastModifiedBy>工藤雅俊</cp:lastModifiedBy>
  <cp:lastPrinted>2025-01-08T04:43:47Z</cp:lastPrinted>
  <dcterms:created xsi:type="dcterms:W3CDTF">2021-10-18T13:56:59Z</dcterms:created>
  <dcterms:modified xsi:type="dcterms:W3CDTF">2026-03-07T05:00:03Z</dcterms:modified>
</cp:coreProperties>
</file>